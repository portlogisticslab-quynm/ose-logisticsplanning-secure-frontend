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32f9fc6f18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3722d18944a24237"/>
    <x:sheet xmlns:r="http://schemas.openxmlformats.org/officeDocument/2006/relationships" name="Supply" sheetId="2" r:id="R090cade8bcbf4f7b"/>
    <x:sheet xmlns:r="http://schemas.openxmlformats.org/officeDocument/2006/relationships" name="Demand" sheetId="3" r:id="R88508953469d4798"/>
    <x:sheet xmlns:r="http://schemas.openxmlformats.org/officeDocument/2006/relationships" name="Params" sheetId="4" r:id="Rf582482ae0394788"/>
    <x:sheet xmlns:r="http://schemas.openxmlformats.org/officeDocument/2006/relationships" name="Arcs" sheetId="5" r:id="R957de36901164096"/>
    <x:sheet xmlns:r="http://schemas.openxmlformats.org/officeDocument/2006/relationships" name="Solver_Arcs" sheetId="6" r:id="Rbe23c8bb24aa47a9"/>
    <x:sheet xmlns:r="http://schemas.openxmlformats.org/officeDocument/2006/relationships" name="Constraint_Checks" sheetId="7" r:id="Rcd28b66793204362"/>
    <x:sheet xmlns:r="http://schemas.openxmlformats.org/officeDocument/2006/relationships" name="Dashboard" sheetId="8" r:id="Ra6a952721c3644c2"/>
    <x:sheet xmlns:r="http://schemas.openxmlformats.org/officeDocument/2006/relationships" name="Solver_Setup" sheetId="9" r:id="Rce650fbad39a4581"/>
    <x:sheet xmlns:r="http://schemas.openxmlformats.org/officeDocument/2006/relationships" name="Nodes" sheetId="10" r:id="Rbf279c688cf74923"/>
    <x:sheet xmlns:r="http://schemas.openxmlformats.org/officeDocument/2006/relationships" name="NodeConstraints" sheetId="11" r:id="Rd5095f40cfbd4388"/>
    <x:sheet xmlns:r="http://schemas.openxmlformats.org/officeDocument/2006/relationships" name="AllowedConnections" sheetId="12" r:id="Rc07533d0f19e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11">
    <x:font>
      <x:sz val="11"/>
      <x:color theme="1"/>
      <x:name val="Calibri"/>
    </x:font>
    <x:font>
      <x:b/>
      <x:sz val="14"/>
      <x:name val="Calibri"/>
    </x:font>
    <x:font>
      <x:b/>
      <x:sz val="11"/>
      <x:color rgb="FFFFFFFF"/>
      <x:name val="Calibri"/>
    </x:font>
    <x:font>
      <x:sz val="11"/>
      <x:color theme="1"/>
      <x:name val="Aptos"/>
    </x:font>
    <x:font>
      <x:b/>
      <x:sz val="16"/>
      <x:color rgb="FF123B6D"/>
      <x:name val="Calibri"/>
    </x:font>
    <x:font>
      <x:b/>
      <x:sz val="11"/>
      <x:color rgb="FF0F3B63"/>
      <x:name val="Calibri"/>
    </x:font>
    <x:font>
      <x:b/>
      <x:sz val="11"/>
      <x:color rgb="FF1F4E29"/>
      <x:name val="Calibri"/>
    </x:font>
    <x:font>
      <x:b/>
      <x:sz val="11"/>
      <x:color rgb="FF843C0C"/>
      <x:name val="Calibri"/>
    </x:font>
    <x:font>
      <x:b/>
      <x:sz val="11"/>
      <x:color rgb="FF404040"/>
      <x:name val="Calibri"/>
    </x:font>
    <x:font>
      <x:b/>
      <x:sz val="11"/>
      <x:color rgb="FF1F1F1F"/>
      <x:name val="Calibri"/>
    </x:font>
    <x:font>
      <x:b/>
      <x:sz val="11"/>
      <x:color theme="1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EDEDE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3">
    <x:border/>
    <x:border/>
    <x:border/>
  </x:borders>
  <x:cellStyleXfs count="1">
    <x:xf numFmtId="0" fontId="0" fillId="0" borderId="1"/>
  </x:cellStyleXfs>
  <x:cellXfs count="60">
    <x:xf numFmtId="0" fontId="0" fillId="0" borderId="0" xfId="0" applyBorder="1"/>
    <x:xf numFmtId="0" fontId="1" fillId="0" borderId="0" xfId="0" applyFont="1" applyBorder="1"/>
    <x:xf numFmtId="0" fontId="0" fillId="0" borderId="0" xfId="0" applyBorder="1" applyAlignment="1">
      <x:alignment wrapText="1"/>
    </x:xf>
    <x:xf numFmtId="0" fontId="0" fillId="0" borderId="1" xfId="0"/>
    <x:xf numFmtId="0" fontId="2" fillId="2" borderId="1" xfId="0" applyFont="1" applyFill="1" applyAlignment="1">
      <x:alignment horizontal="center" vertical="center" wrapText="1"/>
    </x:xf>
    <x:xf numFmtId="0" fontId="3" fillId="0" borderId="1" xfId="0" applyFont="1" applyAlignment="1">
      <x:alignment vertical="center" wrapText="1"/>
    </x:xf>
    <x:xf numFmtId="0" fontId="4" fillId="0" borderId="0" xfId="0" applyFont="1" applyBorder="1"/>
    <x:xf numFmtId="0" fontId="5" fillId="3" borderId="0" xfId="0" applyFont="1" applyFill="1" applyBorder="1" applyAlignment="1">
      <x:alignment horizontal="center" vertical="center" wrapText="1"/>
    </x:xf>
    <x:xf numFmtId="4" fontId="0" fillId="0" borderId="0" xfId="0" applyNumberFormat="1" applyBorder="1"/>
    <x:xf numFmtId="164" fontId="0" fillId="0" borderId="0" xfId="0" applyNumberFormat="1" applyBorder="1"/>
    <x:xf numFmtId="0" fontId="6" fillId="4" borderId="0" xfId="0" applyFont="1" applyFill="1" applyBorder="1" applyAlignment="1">
      <x:alignment horizontal="center" vertical="center" wrapText="1"/>
    </x:xf>
    <x:xf numFmtId="0" fontId="7" fillId="5" borderId="0" xfId="0" applyFont="1" applyFill="1" applyBorder="1" applyAlignment="1">
      <x:alignment horizontal="center" vertical="center" wrapText="1"/>
    </x:xf>
    <x:xf numFmtId="0" fontId="8" fillId="6" borderId="0" xfId="0" applyFont="1" applyFill="1" applyBorder="1" applyAlignment="1">
      <x:alignment horizontal="center" vertical="center" wrapText="1"/>
    </x:xf>
    <x:xf numFmtId="0" fontId="2" fillId="7" borderId="0" xfId="0" applyFont="1" applyFill="1" applyBorder="1" applyAlignment="1">
      <x:alignment horizontal="center" wrapText="1"/>
    </x:xf>
    <x:xf numFmtId="0" fontId="9" fillId="0" borderId="0" xfId="0" applyFont="1" applyBorder="1" applyAlignment="1">
      <x:alignment wrapText="1"/>
    </x:xf>
    <x:xf numFmtId="0" fontId="0" fillId="0" borderId="2" xfId="0" applyNumberFormat="1" applyFont="1" applyFill="1" applyBorder="1"/>
    <x:xf numFmtId="0" fontId="1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4" fillId="0" borderId="2" xfId="0" applyNumberFormat="1" applyFont="1" applyFill="1" applyBorder="1"/>
    <x:xf numFmtId="0" fontId="5" fillId="3" borderId="2" xfId="0" applyNumberFormat="1" applyFont="1" applyFill="1" applyBorder="1" applyAlignment="1">
      <x:alignment horizontal="center" vertical="center" wrapText="1"/>
    </x:xf>
    <x:xf numFmtId="4" fontId="0" fillId="0" borderId="2" xfId="0" applyNumberFormat="1" applyFont="1" applyFill="1" applyBorder="1"/>
    <x:xf numFmtId="164" fontId="0" fillId="0" borderId="2" xfId="0" applyNumberFormat="1" applyFont="1" applyFill="1" applyBorder="1"/>
    <x:xf numFmtId="0" fontId="6" fillId="4" borderId="2" xfId="0" applyNumberFormat="1" applyFont="1" applyFill="1" applyBorder="1" applyAlignment="1">
      <x:alignment horizontal="center" vertical="center" wrapText="1"/>
    </x:xf>
    <x:xf numFmtId="0" fontId="7" fillId="5" borderId="2" xfId="0" applyNumberFormat="1" applyFont="1" applyFill="1" applyBorder="1" applyAlignment="1">
      <x:alignment horizontal="center" vertical="center" wrapText="1"/>
    </x:xf>
    <x:xf numFmtId="0" fontId="8" fillId="6" borderId="2" xfId="0" applyNumberFormat="1" applyFont="1" applyFill="1" applyBorder="1" applyAlignment="1">
      <x:alignment horizontal="center" vertical="center" wrapText="1"/>
    </x:xf>
    <x:xf numFmtId="0" fontId="2" fillId="7" borderId="2" xfId="0" applyNumberFormat="1" applyFont="1" applyFill="1" applyBorder="1" applyAlignment="1">
      <x:alignment horizontal="center" wrapText="1"/>
    </x:xf>
    <x:xf numFmtId="0" fontId="9" fillId="0" borderId="2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2" fillId="8" borderId="2" xfId="0" applyNumberFormat="1" applyFont="1" applyFill="1" applyBorder="1" applyAlignment="1">
      <x:alignment horizontal="center" wrapText="1"/>
    </x:xf>
    <x:xf numFmtId="0" fontId="0" fillId="8" borderId="2" xfId="0" applyNumberFormat="1" applyFont="1" applyFill="1" applyBorder="1"/>
    <x:xf numFmtId="0" fontId="10" fillId="8" borderId="2" xfId="0" applyNumberFormat="1" applyFont="1" applyFill="1" applyBorder="1"/>
    <x:xf numFmtId="0" fontId="10" fillId="8" borderId="2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 vertical="center" wrapText="1"/>
    </x:xf>
    <x:xf numFmtId="4" fontId="0" fillId="0" borderId="0" xfId="0" applyNumberFormat="1" applyFont="1" applyFill="1" applyBorder="1"/>
    <x:xf numFmtId="164" fontId="0" fillId="0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horizontal="center" wrapText="1"/>
    </x:xf>
    <x:xf numFmtId="0" fontId="9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0" xfId="0" applyNumberFormat="1" applyFont="1" applyFill="1" applyBorder="1"/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wrapText="1"/>
    </x:xf>
    <x:xf numFmtId="0" fontId="10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a25cacbf0d4b66" /><Relationship Type="http://schemas.openxmlformats.org/officeDocument/2006/relationships/theme" Target="/xl/theme/theme1.xml" Id="Rb5043f9c25254db5" /><Relationship Type="http://schemas.openxmlformats.org/officeDocument/2006/relationships/sharedStrings" Target="/xl/sharedStrings.xml" Id="Rc2afa8b20e0f4094" /><Relationship Type="http://schemas.openxmlformats.org/officeDocument/2006/relationships/worksheet" Target="/xl/worksheets/sheet1.xml" Id="R3722d18944a24237" /><Relationship Type="http://schemas.openxmlformats.org/officeDocument/2006/relationships/worksheet" Target="/xl/worksheets/sheet2.xml" Id="R090cade8bcbf4f7b" /><Relationship Type="http://schemas.openxmlformats.org/officeDocument/2006/relationships/worksheet" Target="/xl/worksheets/sheet3.xml" Id="R88508953469d4798" /><Relationship Type="http://schemas.openxmlformats.org/officeDocument/2006/relationships/worksheet" Target="/xl/worksheets/sheet4.xml" Id="Rf582482ae0394788" /><Relationship Type="http://schemas.openxmlformats.org/officeDocument/2006/relationships/worksheet" Target="/xl/worksheets/sheet5.xml" Id="R957de36901164096" /><Relationship Type="http://schemas.openxmlformats.org/officeDocument/2006/relationships/worksheet" Target="/xl/worksheets/sheet6.xml" Id="Rbe23c8bb24aa47a9" /><Relationship Type="http://schemas.openxmlformats.org/officeDocument/2006/relationships/worksheet" Target="/xl/worksheets/sheet7.xml" Id="Rcd28b66793204362" /><Relationship Type="http://schemas.openxmlformats.org/officeDocument/2006/relationships/worksheet" Target="/xl/worksheets/sheet8.xml" Id="Ra6a952721c3644c2" /><Relationship Type="http://schemas.openxmlformats.org/officeDocument/2006/relationships/worksheet" Target="/xl/worksheets/sheet9.xml" Id="Rce650fbad39a4581" /><Relationship Type="http://schemas.openxmlformats.org/officeDocument/2006/relationships/worksheet" Target="/xl/worksheets/sheet10.xml" Id="Rbf279c688cf74923" /><Relationship Type="http://schemas.openxmlformats.org/officeDocument/2006/relationships/worksheet" Target="/xl/worksheets/sheet11.xml" Id="Rd5095f40cfbd4388" /><Relationship Type="http://schemas.openxmlformats.org/officeDocument/2006/relationships/worksheet" Target="/xl/worksheets/sheet12.xml" Id="Rc07533d0f19e4a3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399999618530273"/>
  <x:cols>
    <x:col min="1" max="1" width="80" hidden="0" customWidth="1"/>
  </x:cols>
  <x:sheetData>
    <x:row r="1" ht="16.799999237060547" hidden="0" customHeight="1">
      <x:c r="A1" s="58" t="str">
        <x:v>Complex stage-1 example for v8_6_4_6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4.399999618530273" hidden="0" customHeight="1">
      <x:c r="A2" s="41" t="str">
        <x:v>This workbook extends the network with more layers, more supplies, more demands, and two export ports.</x:v>
      </x:c>
      <x:c r="B2" s="41"/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4.399999618530273" hidden="0" customHeight="1">
      <x:c r="A3" s="41" t="str">
        <x:v>Supply nodes: IP1-IP6</x:v>
      </x:c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4.399999618530273" hidden="0" customHeight="1">
      <x:c r="A4" s="41" t="str">
        <x:v>Demand nodes: DC1-DC7</x:v>
      </x:c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4.399999618530273" hidden="0" customHeight="1">
      <x:c r="A5" s="41" t="str">
        <x:v>Intermediate nodes: LC, LC2, PORTFEED, ICD, ICD2, HUB1, HUB2, RAIL1, DRYPORT, COAST1</x:v>
      </x:c>
      <x:c r="B5" s="41"/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4.399999618530273" hidden="0" customHeight="1">
      <x:c r="A6" s="41" t="str">
        <x:v>Export sinks: PORT, PORT2</x:v>
      </x:c>
      <x:c r="B6" s="41"/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4.399999618530273" hidden="0" customHeight="1">
      <x:c r="A7" s="41" t="str">
        <x:v>Node levels used: 1 (Supply), 2, 3, 4 (Intermediate/Demand), 5 (Export sinks)</x:v>
      </x:c>
      <x:c r="B7" s="41"/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4.399999618530273" hidden="0" customHeight="1">
      <x:c r="A8" s="41" t="str">
        <x:v>Domestic demand total = 450</x:v>
      </x:c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4.399999618530273" hidden="0" customHeight="1">
      <x:c r="A9" s="41" t="str">
        <x:v>Export demand = 230</x:v>
      </x:c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4.399999618530273" hidden="0" customHeight="1">
      <x:c r="A10" s="41" t="str">
        <x:v>Total supply = 680</x:v>
      </x:c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4.399999618530273" hidden="0" customHeight="1">
      <x:c r="A11" s="41" t="str">
        <x:v>Modes emphasized for visualization: Road, Rail, Water, Sea</x:v>
      </x:c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4.399999618530273" hidden="0" customHeight="1">
      <x:c r="A12" s="41" t="str">
        <x:v>Arcs count = 101</x:v>
      </x:c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4.399999618530273" hidden="0" customHeight="1">
      <x:c r="A13" s="41" t="str">
        <x:v>Recommended run mode: Run Both (LP + MILP) for comparison, GIS Map, Network Graph, and Animation tabs.</x:v>
      </x:c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4.399999618530273" hidden="0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4.399999618530273" hidden="0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 ht="14.399999618530273" hidden="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 ht="14.399999618530273" hidden="0" customHeight="1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 ht="14.399999618530273" hidden="0" customHeight="1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 ht="14.399999618530273" hidden="0" customHeight="1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 ht="14.399999618530273" hidden="0" customHeight="1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 ht="14.399999618530273" hidden="0" customHeight="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 ht="14.399999618530273" hidden="0" customHeight="1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 ht="14.399999618530273" hidden="0" customHeight="1">
      <x:c r="A24" s="52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 ht="14.399999618530273" hidden="0" customHeight="1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 ht="14.399999618530273" hidden="0" customHeight="1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 ht="14.399999618530273" hidden="0" customHeight="1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 ht="14.399999618530273" hidden="0" customHeight="1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 ht="14.399999618530273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 ht="14.399999618530273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 ht="14.399999618530273" hidden="0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399999618530273"/>
  <x:cols>
    <x:col min="1" max="1" width="2.880000114440918" hidden="0" customWidth="1"/>
    <x:col min="2" max="2" width="5.75" hidden="0" customWidth="1"/>
  </x:cols>
  <x:sheetData>
    <x:row r="1" ht="14.399999618530273" hidden="0" customHeight="1">
      <x:c r="A1" s="53" t="str">
        <x:v>IP</x:v>
      </x:c>
      <x:c r="B1" s="53" t="str">
        <x:v>Supply</x:v>
      </x:c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4.399999618530273" hidden="0" customHeight="1">
      <x:c r="A2" s="41" t="str">
        <x:v>IP1</x:v>
      </x:c>
      <x:c r="B2" s="41" t="n">
        <x:v>120</x:v>
      </x:c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4.399999618530273" hidden="0" customHeight="1">
      <x:c r="A3" s="41" t="str">
        <x:v>IP2</x:v>
      </x:c>
      <x:c r="B3" s="41" t="n">
        <x:v>100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4.399999618530273" hidden="0" customHeight="1">
      <x:c r="A4" s="41" t="str">
        <x:v>IP3</x:v>
      </x:c>
      <x:c r="B4" s="41" t="n">
        <x:v>140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4.399999618530273" hidden="0" customHeight="1">
      <x:c r="A5" s="41" t="str">
        <x:v>IP4</x:v>
      </x:c>
      <x:c r="B5" s="41" t="n">
        <x:v>110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1" t="str">
        <x:v>IP5</x:v>
      </x:c>
      <x:c r="B6" s="41" t="n">
        <x:v>95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1" t="str">
        <x:v>IP6</x:v>
      </x:c>
      <x:c r="B7" s="41" t="n">
        <x:v>115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/>
      <x:c r="B8" s="41"/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399999618530273"/>
  <x:cols>
    <x:col min="1" max="1" width="3.630000114440918" hidden="0" customWidth="1"/>
    <x:col min="3" max="3" width="14" customWidth="1"/>
    <x:col min="2" max="2" width="7" hidden="0" customWidth="1"/>
  </x:cols>
  <x:sheetData>
    <x:row r="1" ht="14.399999618530273" hidden="0" customHeight="1">
      <x:c r="A1" s="53" t="str">
        <x:v>DC</x:v>
      </x:c>
      <x:c r="B1" s="53" t="str">
        <x:v>Demand</x:v>
      </x:c>
      <x:c r="C1" s="42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4.399999618530273" hidden="0" customHeight="1">
      <x:c r="A2" s="41" t="str">
        <x:v>DC1</x:v>
      </x:c>
      <x:c r="B2" s="41" t="n">
        <x:v>70</x:v>
      </x:c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4.399999618530273" hidden="0" customHeight="1">
      <x:c r="A3" s="41" t="str">
        <x:v>DC2</x:v>
      </x:c>
      <x:c r="B3" s="41" t="n">
        <x:v>65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4.399999618530273" hidden="0" customHeight="1">
      <x:c r="A4" s="41" t="str">
        <x:v>DC3</x:v>
      </x:c>
      <x:c r="B4" s="41" t="n">
        <x:v>60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4.399999618530273" hidden="0" customHeight="1">
      <x:c r="A5" s="41" t="str">
        <x:v>DC4</x:v>
      </x:c>
      <x:c r="B5" s="41" t="n">
        <x:v>55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4.399999618530273" hidden="0" customHeight="1">
      <x:c r="A6" s="41" t="str">
        <x:v>DC5</x:v>
      </x:c>
      <x:c r="B6" s="41" t="n">
        <x:v>65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1" t="str">
        <x:v>DC6</x:v>
      </x:c>
      <x:c r="B7" s="41" t="n">
        <x:v>75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1" t="str">
        <x:v>DC7</x:v>
      </x:c>
      <x:c r="B8" s="41" t="n">
        <x:v>60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/>
      <x:c r="B9" s="41"/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/>
      <x:c r="B10" s="41"/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/>
      <x:c r="B11" s="41"/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/>
      <x:c r="B12" s="41"/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4.399999618530273"/>
  <x:cols>
    <x:col min="1" max="1" width="11.75" hidden="0" customWidth="1"/>
    <x:col min="2" max="2" width="4.75" hidden="0" customWidth="1"/>
  </x:cols>
  <x:sheetData>
    <x:row r="1" ht="14.399999618530273" hidden="0" customHeight="1">
      <x:c r="A1" s="53" t="str">
        <x:v>Key</x:v>
      </x:c>
      <x:c r="B1" s="53" t="str">
        <x:v>Value</x:v>
      </x:c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4.399999618530273" hidden="0" customHeight="1">
      <x:c r="A2" s="41" t="str">
        <x:v>exportDemand</x:v>
      </x:c>
      <x:c r="B2" s="41" t="n">
        <x:v>230</x:v>
      </x:c>
      <x:c r="C2" s="41"/>
      <x:c r="D2" s="41"/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4.399999618530273" hidden="0" customHeight="1">
      <x:c r="A3" s="41" t="str">
        <x:v>BigM</x:v>
      </x:c>
      <x:c r="B3" s="41" t="n">
        <x:v>300</x:v>
      </x:c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4.399999618530273" hidden="0" customHeight="1">
      <x:c r="A4" s="41" t="str">
        <x:v>K_road</x:v>
      </x:c>
      <x:c r="B4" s="41" t="n">
        <x:v>999999999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4.399999618530273" hidden="0" customHeight="1">
      <x:c r="A5" s="41" t="str">
        <x:v>K_rail</x:v>
      </x:c>
      <x:c r="B5" s="41" t="n">
        <x:v>240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4.399999618530273" hidden="0" customHeight="1">
      <x:c r="A6" s="41" t="str">
        <x:v>K_water</x:v>
      </x:c>
      <x:c r="B6" s="41" t="n">
        <x:v>220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4.399999618530273" hidden="0" customHeight="1">
      <x:c r="A7" s="41" t="str">
        <x:v>K_sea</x:v>
      </x:c>
      <x:c r="B7" s="41" t="n">
        <x:v>200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4.399999618530273" hidden="0" customHeight="1">
      <x:c r="A8" s="41" t="str">
        <x:v>lambdaCO2</x:v>
      </x:c>
      <x:c r="B8" s="41" t="n">
        <x:v>1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4.399999618530273" hidden="0" customHeight="1">
      <x:c r="A9" s="41" t="str">
        <x:v>Emax</x:v>
      </x:c>
      <x:c r="B9" s="41" t="n">
        <x:v>999999999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4.399999618530273" hidden="0" customHeight="1">
      <x:c r="A10" s="43" t="str">
        <x:v>LC_FixFlow</x:v>
      </x:c>
      <x:c r="B10" s="43" t="n">
        <x:v>140</x:v>
      </x:c>
      <x:c r="C10" s="41"/>
      <x:c r="D10" s="43"/>
      <x:c r="E10" s="43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4.399999618530273" hidden="0" customHeight="1">
      <x:c r="A11" s="43" t="str">
        <x:v>LC2_MinFlow</x:v>
      </x:c>
      <x:c r="B11" s="43" t="n">
        <x:v>60</x:v>
      </x:c>
      <x:c r="C11" s="41"/>
      <x:c r="D11" s="43"/>
      <x:c r="E11" s="43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4.399999618530273" hidden="0" customHeight="1">
      <x:c r="A12" s="43" t="str">
        <x:v>LC2_MaxFlow</x:v>
      </x:c>
      <x:c r="B12" s="43" t="n">
        <x:v>180</x:v>
      </x:c>
      <x:c r="C12" s="41"/>
      <x:c r="D12" s="43"/>
      <x:c r="E12" s="43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4.399999618530273" hidden="0" customHeight="1">
      <x:c r="A13" s="43" t="str">
        <x:v>PORTFEED_MinFlow</x:v>
      </x:c>
      <x:c r="B13" s="43" t="n">
        <x:v>40</x:v>
      </x:c>
      <x:c r="C13" s="41"/>
      <x:c r="D13" s="43"/>
      <x:c r="E13" s="43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4.399999618530273" hidden="0" customHeight="1">
      <x:c r="A14" s="41" t="str">
        <x:v>PORTFEED_MaxFlow</x:v>
      </x:c>
      <x:c r="B14" s="41" t="n">
        <x:v>140</x:v>
      </x:c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4.399999618530273" hidden="0" customHeight="1">
      <x:c r="A15" s="41" t="str">
        <x:v>ICD_MinFlow</x:v>
      </x:c>
      <x:c r="B15" s="41" t="n">
        <x:v>50</x:v>
      </x:c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 ht="14.399999618530273" hidden="0" customHeight="1">
      <x:c r="A16" s="41" t="str">
        <x:v>ICD_MaxFlow</x:v>
      </x:c>
      <x:c r="B16" s="41" t="n">
        <x:v>170</x:v>
      </x:c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 ht="14.399999618530273" hidden="0" customHeight="1">
      <x:c r="A17" s="41" t="str">
        <x:v>ICD2_MinFlow</x:v>
      </x:c>
      <x:c r="B17" s="41" t="n">
        <x:v>30</x:v>
      </x:c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 ht="14.399999618530273" hidden="0" customHeight="1">
      <x:c r="A18" s="41" t="str">
        <x:v>ICD2_MaxFlow</x:v>
      </x:c>
      <x:c r="B18" s="41" t="n">
        <x:v>150</x:v>
      </x:c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 ht="14.399999618530273" hidden="0" customHeight="1">
      <x:c r="A19" s="41" t="str">
        <x:v>HUB1_MaxFlow</x:v>
      </x:c>
      <x:c r="B19" s="41" t="n">
        <x:v>120</x:v>
      </x:c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 ht="14.399999618530273" hidden="0" customHeight="1">
      <x:c r="A20" s="41" t="str">
        <x:v>HUB2_MaxFlow</x:v>
      </x:c>
      <x:c r="B20" s="41" t="n">
        <x:v>110</x:v>
      </x:c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 ht="14.399999618530273" hidden="0" customHeight="1">
      <x:c r="A21" s="41" t="str">
        <x:v>RAIL1_MinFlow</x:v>
      </x:c>
      <x:c r="B21" s="41" t="n">
        <x:v>30</x:v>
      </x:c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 ht="14.399999618530273" hidden="0" customHeight="1">
      <x:c r="A22" s="41" t="str">
        <x:v>RAIL1_MaxFlow</x:v>
      </x:c>
      <x:c r="B22" s="41" t="n">
        <x:v>140</x:v>
      </x:c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 ht="14.399999618530273" hidden="0" customHeight="1">
      <x:c r="A23" s="41" t="str">
        <x:v>DRYPORT_MinFlow</x:v>
      </x:c>
      <x:c r="B23" s="41" t="n">
        <x:v>70</x:v>
      </x:c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 ht="14.399999618530273" hidden="0" customHeight="1">
      <x:c r="A24" s="41" t="str">
        <x:v>DRYPORT_MaxFlow</x:v>
      </x:c>
      <x:c r="B24" s="41" t="n">
        <x:v>180</x:v>
      </x:c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 ht="14.399999618530273" hidden="0" customHeight="1">
      <x:c r="A25" s="41" t="str">
        <x:v>COAST1_MinFlow</x:v>
      </x:c>
      <x:c r="B25" s="41" t="n">
        <x:v>40</x:v>
      </x:c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 ht="14.399999618530273" hidden="0" customHeight="1">
      <x:c r="A26" s="41" t="str">
        <x:v>COAST1_MaxFlow</x:v>
      </x:c>
      <x:c r="B26" s="41" t="n">
        <x:v>150</x:v>
      </x:c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 ht="14.399999618530273" hidden="0" customHeight="1">
      <x:c r="A27" s="41" t="str">
        <x:v>PORT_MaxFlow</x:v>
      </x:c>
      <x:c r="B27" s="41" t="n">
        <x:v>180</x:v>
      </x:c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 ht="14.399999618530273" hidden="0" customHeight="1">
      <x:c r="A28" s="41" t="str">
        <x:v>PORT2_MaxFlow</x:v>
      </x:c>
      <x:c r="B28" s="41" t="n">
        <x:v>170</x:v>
      </x:c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 ht="14.399999618530273" hidden="0" customHeight="1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 ht="14.399999618530273" hidden="0" customHeight="1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 ht="14.399999618530273" hidden="0" customHeight="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 ht="14.399999618530273" hidden="0" customHeight="1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 ht="14.399999618530273" hidden="0" customHeight="1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 ht="14.399999618530273" hidden="0" customHeight="1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4.399999618530273"/>
  <x:cols>
    <x:col min="1" max="1" width="8.380000114440918" hidden="0" customWidth="1"/>
    <x:col min="6" max="6" width="7.880000114440918" hidden="0" customWidth="1"/>
    <x:col min="7" max="7" width="6.630000114440918" hidden="0" customWidth="1"/>
    <x:col min="9" max="9" width="18.75" hidden="0" customWidth="1"/>
    <x:col min="2" max="2" width="8.380000114440918" hidden="0" customWidth="1"/>
    <x:col min="3" max="3" width="5.130000114440918" hidden="0" customWidth="1"/>
    <x:col min="4" max="4" width="7.130000114440918" hidden="0" customWidth="1"/>
    <x:col min="5" max="5" width="3.380000114440918" hidden="0" customWidth="1"/>
    <x:col min="8" max="8" width="6.75" hidden="0" customWidth="1"/>
  </x:cols>
  <x:sheetData>
    <x:row r="1" ht="14.399999618530273" hidden="0" customHeight="1">
      <x:c r="A1" s="53" t="str">
        <x:v>From</x:v>
      </x:c>
      <x:c r="B1" s="53" t="str">
        <x:v>To</x:v>
      </x:c>
      <x:c r="C1" s="53" t="str">
        <x:v>Mode</x:v>
      </x:c>
      <x:c r="D1" s="53" t="str">
        <x:v>UnitCost</x:v>
      </x:c>
      <x:c r="E1" s="53" t="str">
        <x:v>Cap</x:v>
      </x:c>
      <x:c r="F1" s="53" t="str">
        <x:v>FixedCost</x:v>
      </x:c>
      <x:c r="G1" s="53" t="str">
        <x:v>Enabled</x:v>
      </x:c>
      <x:c r="H1" s="53" t="str">
        <x:v>IsExport</x:v>
      </x:c>
      <x:c r="I1" s="53" t="str">
        <x:v>Notes</x:v>
      </x:c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4.399999618530273" hidden="0" customHeight="1">
      <x:c r="A2" s="41" t="str">
        <x:v>IP1</x:v>
      </x:c>
      <x:c r="B2" s="41" t="str">
        <x:v>LC</x:v>
      </x:c>
      <x:c r="C2" s="41" t="str">
        <x:v>Road</x:v>
      </x:c>
      <x:c r="D2" s="41" t="n">
        <x:v>30</x:v>
      </x:c>
      <x:c r="E2" s="41" t="n">
        <x:v>180</x:v>
      </x:c>
      <x:c r="F2" s="41" t="n">
        <x:v>2200</x:v>
      </x:c>
      <x:c r="G2" s="41" t="n">
        <x:v>1</x:v>
      </x:c>
      <x:c r="H2" s="41" t="n">
        <x:v>0</x:v>
      </x:c>
      <x:c r="I2" s="41" t="str">
        <x:v>Backbone</x:v>
      </x:c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4.399999618530273" hidden="0" customHeight="1">
      <x:c r="A3" s="41" t="str">
        <x:v>IP1</x:v>
      </x:c>
      <x:c r="B3" s="41" t="str">
        <x:v>LC2</x:v>
      </x:c>
      <x:c r="C3" s="41" t="str">
        <x:v>Road</x:v>
      </x:c>
      <x:c r="D3" s="41" t="n">
        <x:v>33</x:v>
      </x:c>
      <x:c r="E3" s="41" t="n">
        <x:v>160</x:v>
      </x:c>
      <x:c r="F3" s="41" t="n">
        <x:v>2500</x:v>
      </x:c>
      <x:c r="G3" s="41" t="n">
        <x:v>1</x:v>
      </x:c>
      <x:c r="H3" s="41" t="n">
        <x:v>0</x:v>
      </x:c>
      <x:c r="I3" s="41" t="str">
        <x:v>Alternative LC</x:v>
      </x:c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4.399999618530273" hidden="0" customHeight="1">
      <x:c r="A4" s="41" t="str">
        <x:v>IP1</x:v>
      </x:c>
      <x:c r="B4" s="41" t="str">
        <x:v>PORTFEED</x:v>
      </x:c>
      <x:c r="C4" s="41" t="str">
        <x:v>Road</x:v>
      </x:c>
      <x:c r="D4" s="41" t="n">
        <x:v>31</x:v>
      </x:c>
      <x:c r="E4" s="41" t="n">
        <x:v>140</x:v>
      </x:c>
      <x:c r="F4" s="41" t="n">
        <x:v>2600</x:v>
      </x:c>
      <x:c r="G4" s="41" t="n">
        <x:v>1</x:v>
      </x:c>
      <x:c r="H4" s="41" t="n">
        <x:v>0</x:v>
      </x:c>
      <x:c r="I4" s="41" t="str">
        <x:v>Feeder route</x:v>
      </x:c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4.399999618530273" hidden="0" customHeight="1">
      <x:c r="A5" s="41" t="str">
        <x:v>IP1</x:v>
      </x:c>
      <x:c r="B5" s="41" t="str">
        <x:v>ICD</x:v>
      </x:c>
      <x:c r="C5" s="41" t="str">
        <x:v>Road</x:v>
      </x:c>
      <x:c r="D5" s="41" t="n">
        <x:v>27</x:v>
      </x:c>
      <x:c r="E5" s="41" t="n">
        <x:v>130</x:v>
      </x:c>
      <x:c r="F5" s="41" t="n">
        <x:v>6200</x:v>
      </x:c>
      <x:c r="G5" s="41" t="n">
        <x:v>1</x:v>
      </x:c>
      <x:c r="H5" s="41" t="n">
        <x:v>0</x:v>
      </x:c>
      <x:c r="I5" s="41" t="str">
        <x:v>ICD route</x:v>
      </x:c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4.399999618530273" hidden="0" customHeight="1">
      <x:c r="A6" s="41" t="str">
        <x:v>IP1</x:v>
      </x:c>
      <x:c r="B6" s="41" t="str">
        <x:v>RAIL1</x:v>
      </x:c>
      <x:c r="C6" s="41" t="str">
        <x:v>Rail</x:v>
      </x:c>
      <x:c r="D6" s="41" t="n">
        <x:v>36</x:v>
      </x:c>
      <x:c r="E6" s="41" t="n">
        <x:v>120</x:v>
      </x:c>
      <x:c r="F6" s="41" t="n">
        <x:v>8800</x:v>
      </x:c>
      <x:c r="G6" s="41" t="n">
        <x:v>1</x:v>
      </x:c>
      <x:c r="H6" s="41" t="n">
        <x:v>0</x:v>
      </x:c>
      <x:c r="I6" s="41" t="str">
        <x:v>Rail route</x:v>
      </x:c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4.399999618530273" hidden="0" customHeight="1">
      <x:c r="A7" s="41" t="str">
        <x:v>IP1</x:v>
      </x:c>
      <x:c r="B7" s="41" t="str">
        <x:v>HUB1</x:v>
      </x:c>
      <x:c r="C7" s="41" t="str">
        <x:v>Road</x:v>
      </x:c>
      <x:c r="D7" s="41" t="n">
        <x:v>28</x:v>
      </x:c>
      <x:c r="E7" s="41" t="n">
        <x:v>110</x:v>
      </x:c>
      <x:c r="F7" s="41" t="n">
        <x:v>4300</x:v>
      </x:c>
      <x:c r="G7" s="41" t="n">
        <x:v>1</x:v>
      </x:c>
      <x:c r="H7" s="41" t="n">
        <x:v>0</x:v>
      </x:c>
      <x:c r="I7" s="41" t="str">
        <x:v>Hub route</x:v>
      </x:c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4.399999618530273" hidden="0" customHeight="1">
      <x:c r="A8" s="41" t="str">
        <x:v>IP2</x:v>
      </x:c>
      <x:c r="B8" s="41" t="str">
        <x:v>LC</x:v>
      </x:c>
      <x:c r="C8" s="41" t="str">
        <x:v>Road</x:v>
      </x:c>
      <x:c r="D8" s="41" t="n">
        <x:v>31</x:v>
      </x:c>
      <x:c r="E8" s="41" t="n">
        <x:v>170</x:v>
      </x:c>
      <x:c r="F8" s="41" t="n">
        <x:v>2200</x:v>
      </x:c>
      <x:c r="G8" s="41" t="n">
        <x:v>1</x:v>
      </x:c>
      <x:c r="H8" s="41" t="n">
        <x:v>0</x:v>
      </x:c>
      <x:c r="I8" s="41" t="str">
        <x:v>Backbone</x:v>
      </x:c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4.399999618530273" hidden="0" customHeight="1">
      <x:c r="A9" s="41" t="str">
        <x:v>IP2</x:v>
      </x:c>
      <x:c r="B9" s="41" t="str">
        <x:v>LC2</x:v>
      </x:c>
      <x:c r="C9" s="41" t="str">
        <x:v>Road</x:v>
      </x:c>
      <x:c r="D9" s="41" t="n">
        <x:v>30</x:v>
      </x:c>
      <x:c r="E9" s="41" t="n">
        <x:v>170</x:v>
      </x:c>
      <x:c r="F9" s="41" t="n">
        <x:v>2300</x:v>
      </x:c>
      <x:c r="G9" s="41" t="n">
        <x:v>1</x:v>
      </x:c>
      <x:c r="H9" s="41" t="n">
        <x:v>0</x:v>
      </x:c>
      <x:c r="I9" s="41" t="str">
        <x:v>Backbone</x:v>
      </x:c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4.399999618530273" hidden="0" customHeight="1">
      <x:c r="A10" s="41" t="str">
        <x:v>IP2</x:v>
      </x:c>
      <x:c r="B10" s="41" t="str">
        <x:v>PORTFEED</x:v>
      </x:c>
      <x:c r="C10" s="41" t="str">
        <x:v>Road</x:v>
      </x:c>
      <x:c r="D10" s="41" t="n">
        <x:v>29</x:v>
      </x:c>
      <x:c r="E10" s="41" t="n">
        <x:v>150</x:v>
      </x:c>
      <x:c r="F10" s="41" t="n">
        <x:v>2500</x:v>
      </x:c>
      <x:c r="G10" s="41" t="n">
        <x:v>1</x:v>
      </x:c>
      <x:c r="H10" s="41" t="n">
        <x:v>0</x:v>
      </x:c>
      <x:c r="I10" s="41" t="str">
        <x:v>Feeder route</x:v>
      </x:c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4.399999618530273" hidden="0" customHeight="1">
      <x:c r="A11" s="41" t="str">
        <x:v>IP2</x:v>
      </x:c>
      <x:c r="B11" s="41" t="str">
        <x:v>ICD</x:v>
      </x:c>
      <x:c r="C11" s="41" t="str">
        <x:v>Road</x:v>
      </x:c>
      <x:c r="D11" s="41" t="n">
        <x:v>25</x:v>
      </x:c>
      <x:c r="E11" s="41" t="n">
        <x:v>130</x:v>
      </x:c>
      <x:c r="F11" s="41" t="n">
        <x:v>6000</x:v>
      </x:c>
      <x:c r="G11" s="41" t="n">
        <x:v>1</x:v>
      </x:c>
      <x:c r="H11" s="41" t="n">
        <x:v>0</x:v>
      </x:c>
      <x:c r="I11" s="41" t="str">
        <x:v>ICD route</x:v>
      </x:c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4.399999618530273" hidden="0" customHeight="1">
      <x:c r="A12" s="41" t="str">
        <x:v>IP2</x:v>
      </x:c>
      <x:c r="B12" s="41" t="str">
        <x:v>ICD2</x:v>
      </x:c>
      <x:c r="C12" s="41" t="str">
        <x:v>Road</x:v>
      </x:c>
      <x:c r="D12" s="41" t="n">
        <x:v>24</x:v>
      </x:c>
      <x:c r="E12" s="41" t="n">
        <x:v>120</x:v>
      </x:c>
      <x:c r="F12" s="41" t="n">
        <x:v>6100</x:v>
      </x:c>
      <x:c r="G12" s="41" t="n">
        <x:v>1</x:v>
      </x:c>
      <x:c r="H12" s="41" t="n">
        <x:v>0</x:v>
      </x:c>
      <x:c r="I12" s="41" t="str">
        <x:v>ICD2 route</x:v>
      </x:c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4.399999618530273" hidden="0" customHeight="1">
      <x:c r="A13" s="41" t="str">
        <x:v>IP2</x:v>
      </x:c>
      <x:c r="B13" s="41" t="str">
        <x:v>RAIL1</x:v>
      </x:c>
      <x:c r="C13" s="41" t="str">
        <x:v>Rail</x:v>
      </x:c>
      <x:c r="D13" s="41" t="n">
        <x:v>35</x:v>
      </x:c>
      <x:c r="E13" s="41" t="n">
        <x:v>120</x:v>
      </x:c>
      <x:c r="F13" s="41" t="n">
        <x:v>8600</x:v>
      </x:c>
      <x:c r="G13" s="41" t="n">
        <x:v>1</x:v>
      </x:c>
      <x:c r="H13" s="41" t="n">
        <x:v>0</x:v>
      </x:c>
      <x:c r="I13" s="41" t="str">
        <x:v>Rail route</x:v>
      </x:c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4.399999618530273" hidden="0" customHeight="1">
      <x:c r="A14" s="41" t="str">
        <x:v>IP3</x:v>
      </x:c>
      <x:c r="B14" s="41" t="str">
        <x:v>LC</x:v>
      </x:c>
      <x:c r="C14" s="41" t="str">
        <x:v>Road</x:v>
      </x:c>
      <x:c r="D14" s="41" t="n">
        <x:v>29</x:v>
      </x:c>
      <x:c r="E14" s="41" t="n">
        <x:v>180</x:v>
      </x:c>
      <x:c r="F14" s="41" t="n">
        <x:v>2100</x:v>
      </x:c>
      <x:c r="G14" s="41" t="n">
        <x:v>1</x:v>
      </x:c>
      <x:c r="H14" s="41" t="n">
        <x:v>0</x:v>
      </x:c>
      <x:c r="I14" s="41" t="str">
        <x:v>Backbone</x:v>
      </x:c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4.399999618530273" hidden="0" customHeight="1">
      <x:c r="A15" s="41" t="str">
        <x:v>IP3</x:v>
      </x:c>
      <x:c r="B15" s="41" t="str">
        <x:v>LC2</x:v>
      </x:c>
      <x:c r="C15" s="41" t="str">
        <x:v>Road</x:v>
      </x:c>
      <x:c r="D15" s="41" t="n">
        <x:v>28</x:v>
      </x:c>
      <x:c r="E15" s="41" t="n">
        <x:v>180</x:v>
      </x:c>
      <x:c r="F15" s="41" t="n">
        <x:v>2200</x:v>
      </x:c>
      <x:c r="G15" s="41" t="n">
        <x:v>1</x:v>
      </x:c>
      <x:c r="H15" s="41" t="n">
        <x:v>0</x:v>
      </x:c>
      <x:c r="I15" s="41" t="str">
        <x:v>Backbone</x:v>
      </x:c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 ht="14.399999618530273" hidden="0" customHeight="1">
      <x:c r="A16" s="41" t="str">
        <x:v>IP3</x:v>
      </x:c>
      <x:c r="B16" s="41" t="str">
        <x:v>ICD</x:v>
      </x:c>
      <x:c r="C16" s="41" t="str">
        <x:v>Road</x:v>
      </x:c>
      <x:c r="D16" s="41" t="n">
        <x:v>27</x:v>
      </x:c>
      <x:c r="E16" s="41" t="n">
        <x:v>140</x:v>
      </x:c>
      <x:c r="F16" s="41" t="n">
        <x:v>5900</x:v>
      </x:c>
      <x:c r="G16" s="41" t="n">
        <x:v>1</x:v>
      </x:c>
      <x:c r="H16" s="41" t="n">
        <x:v>0</x:v>
      </x:c>
      <x:c r="I16" s="41" t="str">
        <x:v>ICD route</x:v>
      </x:c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 ht="14.399999618530273" hidden="0" customHeight="1">
      <x:c r="A17" s="41" t="str">
        <x:v>IP3</x:v>
      </x:c>
      <x:c r="B17" s="41" t="str">
        <x:v>HUB1</x:v>
      </x:c>
      <x:c r="C17" s="41" t="str">
        <x:v>Road</x:v>
      </x:c>
      <x:c r="D17" s="41" t="n">
        <x:v>24</x:v>
      </x:c>
      <x:c r="E17" s="41" t="n">
        <x:v>120</x:v>
      </x:c>
      <x:c r="F17" s="41" t="n">
        <x:v>4200</x:v>
      </x:c>
      <x:c r="G17" s="41" t="n">
        <x:v>1</x:v>
      </x:c>
      <x:c r="H17" s="41" t="n">
        <x:v>0</x:v>
      </x:c>
      <x:c r="I17" s="41" t="str">
        <x:v>Hub route</x:v>
      </x:c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 ht="14.399999618530273" hidden="0" customHeight="1">
      <x:c r="A18" s="41" t="str">
        <x:v>IP3</x:v>
      </x:c>
      <x:c r="B18" s="41" t="str">
        <x:v>HUB2</x:v>
      </x:c>
      <x:c r="C18" s="41" t="str">
        <x:v>Road</x:v>
      </x:c>
      <x:c r="D18" s="41" t="n">
        <x:v>23</x:v>
      </x:c>
      <x:c r="E18" s="41" t="n">
        <x:v>110</x:v>
      </x:c>
      <x:c r="F18" s="41" t="n">
        <x:v>4300</x:v>
      </x:c>
      <x:c r="G18" s="41" t="n">
        <x:v>1</x:v>
      </x:c>
      <x:c r="H18" s="41" t="n">
        <x:v>0</x:v>
      </x:c>
      <x:c r="I18" s="41" t="str">
        <x:v>Hub route south</x:v>
      </x:c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 ht="14.399999618530273" hidden="0" customHeight="1">
      <x:c r="A19" s="41" t="str">
        <x:v>IP3</x:v>
      </x:c>
      <x:c r="B19" s="41" t="str">
        <x:v>RAIL1</x:v>
      </x:c>
      <x:c r="C19" s="41" t="str">
        <x:v>Rail</x:v>
      </x:c>
      <x:c r="D19" s="41" t="n">
        <x:v>34</x:v>
      </x:c>
      <x:c r="E19" s="41" t="n">
        <x:v>130</x:v>
      </x:c>
      <x:c r="F19" s="41" t="n">
        <x:v>8400</x:v>
      </x:c>
      <x:c r="G19" s="41" t="n">
        <x:v>1</x:v>
      </x:c>
      <x:c r="H19" s="41" t="n">
        <x:v>0</x:v>
      </x:c>
      <x:c r="I19" s="41" t="str">
        <x:v>Rail route</x:v>
      </x:c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 ht="14.399999618530273" hidden="0" customHeight="1">
      <x:c r="A20" s="41" t="str">
        <x:v>IP4</x:v>
      </x:c>
      <x:c r="B20" s="41" t="str">
        <x:v>LC2</x:v>
      </x:c>
      <x:c r="C20" s="41" t="str">
        <x:v>Road</x:v>
      </x:c>
      <x:c r="D20" s="41" t="n">
        <x:v>30</x:v>
      </x:c>
      <x:c r="E20" s="41" t="n">
        <x:v>170</x:v>
      </x:c>
      <x:c r="F20" s="41" t="n">
        <x:v>2300</x:v>
      </x:c>
      <x:c r="G20" s="41" t="n">
        <x:v>1</x:v>
      </x:c>
      <x:c r="H20" s="41" t="n">
        <x:v>0</x:v>
      </x:c>
      <x:c r="I20" s="41" t="str">
        <x:v>Backbone</x:v>
      </x:c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 ht="14.399999618530273" hidden="0" customHeight="1">
      <x:c r="A21" s="41" t="str">
        <x:v>IP4</x:v>
      </x:c>
      <x:c r="B21" s="41" t="str">
        <x:v>PORTFEED</x:v>
      </x:c>
      <x:c r="C21" s="41" t="str">
        <x:v>Road</x:v>
      </x:c>
      <x:c r="D21" s="41" t="n">
        <x:v>28</x:v>
      </x:c>
      <x:c r="E21" s="41" t="n">
        <x:v>150</x:v>
      </x:c>
      <x:c r="F21" s="41" t="n">
        <x:v>2400</x:v>
      </x:c>
      <x:c r="G21" s="41" t="n">
        <x:v>1</x:v>
      </x:c>
      <x:c r="H21" s="41" t="n">
        <x:v>0</x:v>
      </x:c>
      <x:c r="I21" s="41" t="str">
        <x:v>Feeder route</x:v>
      </x:c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 ht="14.399999618530273" hidden="0" customHeight="1">
      <x:c r="A22" s="41" t="str">
        <x:v>IP4</x:v>
      </x:c>
      <x:c r="B22" s="41" t="str">
        <x:v>ICD2</x:v>
      </x:c>
      <x:c r="C22" s="41" t="str">
        <x:v>Road</x:v>
      </x:c>
      <x:c r="D22" s="41" t="n">
        <x:v>25</x:v>
      </x:c>
      <x:c r="E22" s="41" t="n">
        <x:v>130</x:v>
      </x:c>
      <x:c r="F22" s="41" t="n">
        <x:v>6000</x:v>
      </x:c>
      <x:c r="G22" s="41" t="n">
        <x:v>1</x:v>
      </x:c>
      <x:c r="H22" s="41" t="n">
        <x:v>0</x:v>
      </x:c>
      <x:c r="I22" s="41" t="str">
        <x:v>ICD2 route</x:v>
      </x:c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 ht="14.399999618530273" hidden="0" customHeight="1">
      <x:c r="A23" s="41" t="str">
        <x:v>IP4</x:v>
      </x:c>
      <x:c r="B23" s="41" t="str">
        <x:v>HUB2</x:v>
      </x:c>
      <x:c r="C23" s="41" t="str">
        <x:v>Road</x:v>
      </x:c>
      <x:c r="D23" s="41" t="n">
        <x:v>22</x:v>
      </x:c>
      <x:c r="E23" s="41" t="n">
        <x:v>120</x:v>
      </x:c>
      <x:c r="F23" s="41" t="n">
        <x:v>4100</x:v>
      </x:c>
      <x:c r="G23" s="41" t="n">
        <x:v>1</x:v>
      </x:c>
      <x:c r="H23" s="41" t="n">
        <x:v>0</x:v>
      </x:c>
      <x:c r="I23" s="41" t="str">
        <x:v>Hub route south</x:v>
      </x:c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 ht="14.399999618530273" hidden="0" customHeight="1">
      <x:c r="A24" s="41" t="str">
        <x:v>IP4</x:v>
      </x:c>
      <x:c r="B24" s="41" t="str">
        <x:v>RAIL1</x:v>
      </x:c>
      <x:c r="C24" s="41" t="str">
        <x:v>Rail</x:v>
      </x:c>
      <x:c r="D24" s="41" t="n">
        <x:v>33</x:v>
      </x:c>
      <x:c r="E24" s="41" t="n">
        <x:v>120</x:v>
      </x:c>
      <x:c r="F24" s="41" t="n">
        <x:v>8300</x:v>
      </x:c>
      <x:c r="G24" s="41" t="n">
        <x:v>1</x:v>
      </x:c>
      <x:c r="H24" s="41" t="n">
        <x:v>0</x:v>
      </x:c>
      <x:c r="I24" s="41" t="str">
        <x:v>Rail route</x:v>
      </x:c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 ht="14.399999618530273" hidden="0" customHeight="1">
      <x:c r="A25" s="41" t="str">
        <x:v>IP5</x:v>
      </x:c>
      <x:c r="B25" s="41" t="str">
        <x:v>LC</x:v>
      </x:c>
      <x:c r="C25" s="41" t="str">
        <x:v>Road</x:v>
      </x:c>
      <x:c r="D25" s="41" t="n">
        <x:v>27</x:v>
      </x:c>
      <x:c r="E25" s="41" t="n">
        <x:v>150</x:v>
      </x:c>
      <x:c r="F25" s="41" t="n">
        <x:v>2100</x:v>
      </x:c>
      <x:c r="G25" s="41" t="n">
        <x:v>1</x:v>
      </x:c>
      <x:c r="H25" s="41" t="n">
        <x:v>0</x:v>
      </x:c>
      <x:c r="I25" s="41" t="str">
        <x:v>Northwest to LC</x:v>
      </x:c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 ht="14.399999618530273" hidden="0" customHeight="1">
      <x:c r="A26" s="41" t="str">
        <x:v>IP5</x:v>
      </x:c>
      <x:c r="B26" s="41" t="str">
        <x:v>HUB1</x:v>
      </x:c>
      <x:c r="C26" s="41" t="str">
        <x:v>Road</x:v>
      </x:c>
      <x:c r="D26" s="41" t="n">
        <x:v>23</x:v>
      </x:c>
      <x:c r="E26" s="41" t="n">
        <x:v>120</x:v>
      </x:c>
      <x:c r="F26" s="41" t="n">
        <x:v>4000</x:v>
      </x:c>
      <x:c r="G26" s="41" t="n">
        <x:v>1</x:v>
      </x:c>
      <x:c r="H26" s="41" t="n">
        <x:v>0</x:v>
      </x:c>
      <x:c r="I26" s="41" t="str">
        <x:v>Northwest hub</x:v>
      </x:c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 ht="14.399999618530273" hidden="0" customHeight="1">
      <x:c r="A27" s="41" t="str">
        <x:v>IP5</x:v>
      </x:c>
      <x:c r="B27" s="41" t="str">
        <x:v>RAIL1</x:v>
      </x:c>
      <x:c r="C27" s="41" t="str">
        <x:v>Rail</x:v>
      </x:c>
      <x:c r="D27" s="41" t="n">
        <x:v>32</x:v>
      </x:c>
      <x:c r="E27" s="41" t="n">
        <x:v>110</x:v>
      </x:c>
      <x:c r="F27" s="41" t="n">
        <x:v>8200</x:v>
      </x:c>
      <x:c r="G27" s="41" t="n">
        <x:v>1</x:v>
      </x:c>
      <x:c r="H27" s="41" t="n">
        <x:v>0</x:v>
      </x:c>
      <x:c r="I27" s="41" t="str">
        <x:v>Rail route</x:v>
      </x:c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 ht="14.399999618530273" hidden="0" customHeight="1">
      <x:c r="A28" s="41" t="str">
        <x:v>IP5</x:v>
      </x:c>
      <x:c r="B28" s="41" t="str">
        <x:v>ICD</x:v>
      </x:c>
      <x:c r="C28" s="41" t="str">
        <x:v>Road</x:v>
      </x:c>
      <x:c r="D28" s="41" t="n">
        <x:v>26</x:v>
      </x:c>
      <x:c r="E28" s="41" t="n">
        <x:v>120</x:v>
      </x:c>
      <x:c r="F28" s="41" t="n">
        <x:v>5800</x:v>
      </x:c>
      <x:c r="G28" s="41" t="n">
        <x:v>1</x:v>
      </x:c>
      <x:c r="H28" s="41" t="n">
        <x:v>0</x:v>
      </x:c>
      <x:c r="I28" s="41" t="str">
        <x:v>ICD route</x:v>
      </x:c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 ht="14.399999618530273" hidden="0" customHeight="1">
      <x:c r="A29" s="41" t="str">
        <x:v>IP6</x:v>
      </x:c>
      <x:c r="B29" s="41" t="str">
        <x:v>LC2</x:v>
      </x:c>
      <x:c r="C29" s="41" t="str">
        <x:v>Road</x:v>
      </x:c>
      <x:c r="D29" s="41" t="n">
        <x:v>28</x:v>
      </x:c>
      <x:c r="E29" s="41" t="n">
        <x:v>150</x:v>
      </x:c>
      <x:c r="F29" s="41" t="n">
        <x:v>2200</x:v>
      </x:c>
      <x:c r="G29" s="41" t="n">
        <x:v>1</x:v>
      </x:c>
      <x:c r="H29" s="41" t="n">
        <x:v>0</x:v>
      </x:c>
      <x:c r="I29" s="41" t="str">
        <x:v>Southeast to LC2</x:v>
      </x:c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 ht="14.399999618530273" hidden="0" customHeight="1">
      <x:c r="A30" s="41" t="str">
        <x:v>IP6</x:v>
      </x:c>
      <x:c r="B30" s="41" t="str">
        <x:v>PORTFEED</x:v>
      </x:c>
      <x:c r="C30" s="41" t="str">
        <x:v>Road</x:v>
      </x:c>
      <x:c r="D30" s="41" t="n">
        <x:v>26</x:v>
      </x:c>
      <x:c r="E30" s="41" t="n">
        <x:v>140</x:v>
      </x:c>
      <x:c r="F30" s="41" t="n">
        <x:v>2300</x:v>
      </x:c>
      <x:c r="G30" s="41" t="n">
        <x:v>1</x:v>
      </x:c>
      <x:c r="H30" s="41" t="n">
        <x:v>0</x:v>
      </x:c>
      <x:c r="I30" s="41" t="str">
        <x:v>Feeder route</x:v>
      </x:c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 ht="14.399999618530273" hidden="0" customHeight="1">
      <x:c r="A31" s="41" t="str">
        <x:v>IP6</x:v>
      </x:c>
      <x:c r="B31" s="41" t="str">
        <x:v>HUB2</x:v>
      </x:c>
      <x:c r="C31" s="41" t="str">
        <x:v>Road</x:v>
      </x:c>
      <x:c r="D31" s="41" t="n">
        <x:v>22</x:v>
      </x:c>
      <x:c r="E31" s="41" t="n">
        <x:v>120</x:v>
      </x:c>
      <x:c r="F31" s="41" t="n">
        <x:v>4000</x:v>
      </x:c>
      <x:c r="G31" s="41" t="n">
        <x:v>1</x:v>
      </x:c>
      <x:c r="H31" s="41" t="n">
        <x:v>0</x:v>
      </x:c>
      <x:c r="I31" s="41" t="str">
        <x:v>Southeast hub</x:v>
      </x:c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 ht="14.399999618530273" hidden="0" customHeight="1">
      <x:c r="A32" s="41" t="str">
        <x:v>IP6</x:v>
      </x:c>
      <x:c r="B32" s="41" t="str">
        <x:v>ICD2</x:v>
      </x:c>
      <x:c r="C32" s="41" t="str">
        <x:v>Road</x:v>
      </x:c>
      <x:c r="D32" s="41" t="n">
        <x:v>24</x:v>
      </x:c>
      <x:c r="E32" s="41" t="n">
        <x:v>120</x:v>
      </x:c>
      <x:c r="F32" s="41" t="n">
        <x:v>5900</x:v>
      </x:c>
      <x:c r="G32" s="41" t="n">
        <x:v>1</x:v>
      </x:c>
      <x:c r="H32" s="41" t="n">
        <x:v>0</x:v>
      </x:c>
      <x:c r="I32" s="41" t="str">
        <x:v>ICD2 route</x:v>
      </x:c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 ht="14.399999618530273" hidden="0" customHeight="1">
      <x:c r="A33" s="41" t="str">
        <x:v>IP6</x:v>
      </x:c>
      <x:c r="B33" s="41" t="str">
        <x:v>RAIL1</x:v>
      </x:c>
      <x:c r="C33" s="41" t="str">
        <x:v>Rail</x:v>
      </x:c>
      <x:c r="D33" s="41" t="n">
        <x:v>31</x:v>
      </x:c>
      <x:c r="E33" s="41" t="n">
        <x:v>110</x:v>
      </x:c>
      <x:c r="F33" s="41" t="n">
        <x:v>8100</x:v>
      </x:c>
      <x:c r="G33" s="41" t="n">
        <x:v>1</x:v>
      </x:c>
      <x:c r="H33" s="41" t="n">
        <x:v>0</x:v>
      </x:c>
      <x:c r="I33" s="41" t="str">
        <x:v>Rail route</x:v>
      </x:c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 ht="14.399999618530273" hidden="0" customHeight="1">
      <x:c r="A34" s="41" t="str">
        <x:v>LC</x:v>
      </x:c>
      <x:c r="B34" s="41" t="str">
        <x:v>ICD</x:v>
      </x:c>
      <x:c r="C34" s="41" t="str">
        <x:v>Road</x:v>
      </x:c>
      <x:c r="D34" s="41" t="n">
        <x:v>15</x:v>
      </x:c>
      <x:c r="E34" s="41" t="n">
        <x:v>160</x:v>
      </x:c>
      <x:c r="F34" s="41" t="n">
        <x:v>7800</x:v>
      </x:c>
      <x:c r="G34" s="41" t="n">
        <x:v>1</x:v>
      </x:c>
      <x:c r="H34" s="41" t="n">
        <x:v>0</x:v>
      </x:c>
      <x:c r="I34" s="41" t="str">
        <x:v>Transfer</x:v>
      </x:c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 ht="14.399999618530273" hidden="0" customHeight="1">
      <x:c r="A35" s="41" t="str">
        <x:v>LC</x:v>
      </x:c>
      <x:c r="B35" s="41" t="str">
        <x:v>RAIL1</x:v>
      </x:c>
      <x:c r="C35" s="41" t="str">
        <x:v>Road</x:v>
      </x:c>
      <x:c r="D35" s="41" t="n">
        <x:v>14</x:v>
      </x:c>
      <x:c r="E35" s="41" t="n">
        <x:v>150</x:v>
      </x:c>
      <x:c r="F35" s="41" t="n">
        <x:v>7600</x:v>
      </x:c>
      <x:c r="G35" s="41" t="n">
        <x:v>1</x:v>
      </x:c>
      <x:c r="H35" s="41" t="n">
        <x:v>0</x:v>
      </x:c>
      <x:c r="I35" s="41" t="str">
        <x:v>Rail terminal transfer</x:v>
      </x:c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 ht="14.399999618530273" hidden="0" customHeight="1">
      <x:c r="A36" s="41" t="str">
        <x:v>LC</x:v>
      </x:c>
      <x:c r="B36" s="41" t="str">
        <x:v>HUB1</x:v>
      </x:c>
      <x:c r="C36" s="41" t="str">
        <x:v>Road</x:v>
      </x:c>
      <x:c r="D36" s="41" t="n">
        <x:v>16</x:v>
      </x:c>
      <x:c r="E36" s="41" t="n">
        <x:v>140</x:v>
      </x:c>
      <x:c r="F36" s="41" t="n">
        <x:v>7000</x:v>
      </x:c>
      <x:c r="G36" s="41" t="n">
        <x:v>1</x:v>
      </x:c>
      <x:c r="H36" s="41" t="n">
        <x:v>0</x:v>
      </x:c>
      <x:c r="I36" s="41" t="str">
        <x:v>Hub transfer</x:v>
      </x:c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 ht="14.399999618530273" hidden="0" customHeight="1">
      <x:c r="A37" s="41" t="str">
        <x:v>LC</x:v>
      </x:c>
      <x:c r="B37" s="41" t="str">
        <x:v>DRYPORT</x:v>
      </x:c>
      <x:c r="C37" s="41" t="str">
        <x:v>Road</x:v>
      </x:c>
      <x:c r="D37" s="41" t="n">
        <x:v>18</x:v>
      </x:c>
      <x:c r="E37" s="41" t="n">
        <x:v>150</x:v>
      </x:c>
      <x:c r="F37" s="41" t="n">
        <x:v>8200</x:v>
      </x:c>
      <x:c r="G37" s="41" t="n">
        <x:v>1</x:v>
      </x:c>
      <x:c r="H37" s="41" t="n">
        <x:v>0</x:v>
      </x:c>
      <x:c r="I37" s="41" t="str">
        <x:v>Dryport feeder</x:v>
      </x:c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 ht="14.399999618530273" hidden="0" customHeight="1">
      <x:c r="A38" s="41" t="str">
        <x:v>LC</x:v>
      </x:c>
      <x:c r="B38" s="41" t="str">
        <x:v>DC1</x:v>
      </x:c>
      <x:c r="C38" s="41" t="str">
        <x:v>Road</x:v>
      </x:c>
      <x:c r="D38" s="41" t="n">
        <x:v>27</x:v>
      </x:c>
      <x:c r="E38" s="41" t="n">
        <x:v>120</x:v>
      </x:c>
      <x:c r="F38" s="41" t="n">
        <x:v>2200</x:v>
      </x:c>
      <x:c r="G38" s="41" t="n">
        <x:v>1</x:v>
      </x:c>
      <x:c r="H38" s="41" t="n">
        <x:v>0</x:v>
      </x:c>
      <x:c r="I38" s="41" t="str">
        <x:v>Distribution</x:v>
      </x:c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 ht="14.399999618530273" hidden="0" customHeight="1">
      <x:c r="A39" s="41" t="str">
        <x:v>LC</x:v>
      </x:c>
      <x:c r="B39" s="41" t="str">
        <x:v>DC2</x:v>
      </x:c>
      <x:c r="C39" s="41" t="str">
        <x:v>Road</x:v>
      </x:c>
      <x:c r="D39" s="41" t="n">
        <x:v>26</x:v>
      </x:c>
      <x:c r="E39" s="41" t="n">
        <x:v>110</x:v>
      </x:c>
      <x:c r="F39" s="41" t="n">
        <x:v>2200</x:v>
      </x:c>
      <x:c r="G39" s="41" t="n">
        <x:v>1</x:v>
      </x:c>
      <x:c r="H39" s="41" t="n">
        <x:v>0</x:v>
      </x:c>
      <x:c r="I39" s="41" t="str">
        <x:v>Distribution</x:v>
      </x:c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 ht="14.399999618530273" hidden="0" customHeight="1">
      <x:c r="A40" s="41" t="str">
        <x:v>LC</x:v>
      </x:c>
      <x:c r="B40" s="41" t="str">
        <x:v>DC6</x:v>
      </x:c>
      <x:c r="C40" s="41" t="str">
        <x:v>Road</x:v>
      </x:c>
      <x:c r="D40" s="41" t="n">
        <x:v>25</x:v>
      </x:c>
      <x:c r="E40" s="41" t="n">
        <x:v>110</x:v>
      </x:c>
      <x:c r="F40" s="41" t="n">
        <x:v>2200</x:v>
      </x:c>
      <x:c r="G40" s="41" t="n">
        <x:v>1</x:v>
      </x:c>
      <x:c r="H40" s="41" t="n">
        <x:v>0</x:v>
      </x:c>
      <x:c r="I40" s="41" t="str">
        <x:v>Distribution west</x:v>
      </x:c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 t="str">
        <x:v>LC</x:v>
      </x:c>
      <x:c r="B41" s="41" t="str">
        <x:v>PORT</x:v>
      </x:c>
      <x:c r="C41" s="41" t="str">
        <x:v>Rail</x:v>
      </x:c>
      <x:c r="D41" s="41" t="n">
        <x:v>18</x:v>
      </x:c>
      <x:c r="E41" s="41" t="n">
        <x:v>130</x:v>
      </x:c>
      <x:c r="F41" s="41" t="n">
        <x:v>3200</x:v>
      </x:c>
      <x:c r="G41" s="41" t="n">
        <x:v>1</x:v>
      </x:c>
      <x:c r="H41" s="41" t="n">
        <x:v>1</x:v>
      </x:c>
      <x:c r="I41" s="41" t="str">
        <x:v>Export rail A</x:v>
      </x:c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 t="str">
        <x:v>LC</x:v>
      </x:c>
      <x:c r="B42" s="41" t="str">
        <x:v>PORT</x:v>
      </x:c>
      <x:c r="C42" s="41" t="str">
        <x:v>Water</x:v>
      </x:c>
      <x:c r="D42" s="41" t="n">
        <x:v>22</x:v>
      </x:c>
      <x:c r="E42" s="41" t="n">
        <x:v>120</x:v>
      </x:c>
      <x:c r="F42" s="41" t="n">
        <x:v>10000</x:v>
      </x:c>
      <x:c r="G42" s="41" t="n">
        <x:v>1</x:v>
      </x:c>
      <x:c r="H42" s="41" t="n">
        <x:v>1</x:v>
      </x:c>
      <x:c r="I42" s="41" t="str">
        <x:v>Export water A</x:v>
      </x:c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 t="str">
        <x:v>LC</x:v>
      </x:c>
      <x:c r="B43" s="41" t="str">
        <x:v>PORT2</x:v>
      </x:c>
      <x:c r="C43" s="41" t="str">
        <x:v>Sea</x:v>
      </x:c>
      <x:c r="D43" s="41" t="n">
        <x:v>24</x:v>
      </x:c>
      <x:c r="E43" s="41" t="n">
        <x:v>110</x:v>
      </x:c>
      <x:c r="F43" s="41" t="n">
        <x:v>12000</x:v>
      </x:c>
      <x:c r="G43" s="41" t="n">
        <x:v>1</x:v>
      </x:c>
      <x:c r="H43" s="41" t="n">
        <x:v>1</x:v>
      </x:c>
      <x:c r="I43" s="41" t="str">
        <x:v>Export sea B</x:v>
      </x:c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 t="str">
        <x:v>LC2</x:v>
      </x:c>
      <x:c r="B44" s="41" t="str">
        <x:v>ICD</x:v>
      </x:c>
      <x:c r="C44" s="41" t="str">
        <x:v>Road</x:v>
      </x:c>
      <x:c r="D44" s="41" t="n">
        <x:v>14</x:v>
      </x:c>
      <x:c r="E44" s="41" t="n">
        <x:v>160</x:v>
      </x:c>
      <x:c r="F44" s="41" t="n">
        <x:v>7600</x:v>
      </x:c>
      <x:c r="G44" s="41" t="n">
        <x:v>1</x:v>
      </x:c>
      <x:c r="H44" s="41" t="n">
        <x:v>0</x:v>
      </x:c>
      <x:c r="I44" s="41" t="str">
        <x:v>Transfer</x:v>
      </x:c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 t="str">
        <x:v>LC2</x:v>
      </x:c>
      <x:c r="B45" s="41" t="str">
        <x:v>ICD2</x:v>
      </x:c>
      <x:c r="C45" s="41" t="str">
        <x:v>Road</x:v>
      </x:c>
      <x:c r="D45" s="41" t="n">
        <x:v>14</x:v>
      </x:c>
      <x:c r="E45" s="41" t="n">
        <x:v>150</x:v>
      </x:c>
      <x:c r="F45" s="41" t="n">
        <x:v>7600</x:v>
      </x:c>
      <x:c r="G45" s="41" t="n">
        <x:v>1</x:v>
      </x:c>
      <x:c r="H45" s="41" t="n">
        <x:v>0</x:v>
      </x:c>
      <x:c r="I45" s="41" t="str">
        <x:v>Transfer</x:v>
      </x:c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 t="str">
        <x:v>LC2</x:v>
      </x:c>
      <x:c r="B46" s="41" t="str">
        <x:v>RAIL1</x:v>
      </x:c>
      <x:c r="C46" s="41" t="str">
        <x:v>Road</x:v>
      </x:c>
      <x:c r="D46" s="41" t="n">
        <x:v>13</x:v>
      </x:c>
      <x:c r="E46" s="41" t="n">
        <x:v>150</x:v>
      </x:c>
      <x:c r="F46" s="41" t="n">
        <x:v>7400</x:v>
      </x:c>
      <x:c r="G46" s="41" t="n">
        <x:v>1</x:v>
      </x:c>
      <x:c r="H46" s="41" t="n">
        <x:v>0</x:v>
      </x:c>
      <x:c r="I46" s="41" t="str">
        <x:v>Rail terminal transfer</x:v>
      </x:c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 t="str">
        <x:v>LC2</x:v>
      </x:c>
      <x:c r="B47" s="41" t="str">
        <x:v>HUB2</x:v>
      </x:c>
      <x:c r="C47" s="41" t="str">
        <x:v>Road</x:v>
      </x:c>
      <x:c r="D47" s="41" t="n">
        <x:v>15</x:v>
      </x:c>
      <x:c r="E47" s="41" t="n">
        <x:v>140</x:v>
      </x:c>
      <x:c r="F47" s="41" t="n">
        <x:v>7000</x:v>
      </x:c>
      <x:c r="G47" s="41" t="n">
        <x:v>1</x:v>
      </x:c>
      <x:c r="H47" s="41" t="n">
        <x:v>0</x:v>
      </x:c>
      <x:c r="I47" s="41" t="str">
        <x:v>Hub transfer</x:v>
      </x:c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 t="str">
        <x:v>LC2</x:v>
      </x:c>
      <x:c r="B48" s="41" t="str">
        <x:v>DRYPORT</x:v>
      </x:c>
      <x:c r="C48" s="41" t="str">
        <x:v>Road</x:v>
      </x:c>
      <x:c r="D48" s="41" t="n">
        <x:v>17</x:v>
      </x:c>
      <x:c r="E48" s="41" t="n">
        <x:v>150</x:v>
      </x:c>
      <x:c r="F48" s="41" t="n">
        <x:v>8100</x:v>
      </x:c>
      <x:c r="G48" s="41" t="n">
        <x:v>1</x:v>
      </x:c>
      <x:c r="H48" s="41" t="n">
        <x:v>0</x:v>
      </x:c>
      <x:c r="I48" s="41" t="str">
        <x:v>Dryport feeder</x:v>
      </x:c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 t="str">
        <x:v>LC2</x:v>
      </x:c>
      <x:c r="B49" s="41" t="str">
        <x:v>DC2</x:v>
      </x:c>
      <x:c r="C49" s="41" t="str">
        <x:v>Road</x:v>
      </x:c>
      <x:c r="D49" s="41" t="n">
        <x:v>24</x:v>
      </x:c>
      <x:c r="E49" s="41" t="n">
        <x:v>120</x:v>
      </x:c>
      <x:c r="F49" s="41" t="n">
        <x:v>2200</x:v>
      </x:c>
      <x:c r="G49" s="41" t="n">
        <x:v>1</x:v>
      </x:c>
      <x:c r="H49" s="41" t="n">
        <x:v>0</x:v>
      </x:c>
      <x:c r="I49" s="41" t="str">
        <x:v>Distribution</x:v>
      </x:c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 t="str">
        <x:v>LC2</x:v>
      </x:c>
      <x:c r="B50" s="41" t="str">
        <x:v>DC3</x:v>
      </x:c>
      <x:c r="C50" s="41" t="str">
        <x:v>Road</x:v>
      </x:c>
      <x:c r="D50" s="41" t="n">
        <x:v>23</x:v>
      </x:c>
      <x:c r="E50" s="41" t="n">
        <x:v>120</x:v>
      </x:c>
      <x:c r="F50" s="41" t="n">
        <x:v>2200</x:v>
      </x:c>
      <x:c r="G50" s="41" t="n">
        <x:v>1</x:v>
      </x:c>
      <x:c r="H50" s="41" t="n">
        <x:v>0</x:v>
      </x:c>
      <x:c r="I50" s="41" t="str">
        <x:v>Distribution</x:v>
      </x:c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 t="str">
        <x:v>LC2</x:v>
      </x:c>
      <x:c r="B51" s="41" t="str">
        <x:v>DC5</x:v>
      </x:c>
      <x:c r="C51" s="41" t="str">
        <x:v>Road</x:v>
      </x:c>
      <x:c r="D51" s="41" t="n">
        <x:v>25</x:v>
      </x:c>
      <x:c r="E51" s="41" t="n">
        <x:v>110</x:v>
      </x:c>
      <x:c r="F51" s="41" t="n">
        <x:v>2300</x:v>
      </x:c>
      <x:c r="G51" s="41" t="n">
        <x:v>1</x:v>
      </x:c>
      <x:c r="H51" s="41" t="n">
        <x:v>0</x:v>
      </x:c>
      <x:c r="I51" s="41" t="str">
        <x:v>Distribution</x:v>
      </x:c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 t="str">
        <x:v>LC2</x:v>
      </x:c>
      <x:c r="B52" s="41" t="str">
        <x:v>PORT</x:v>
      </x:c>
      <x:c r="C52" s="41" t="str">
        <x:v>Rail</x:v>
      </x:c>
      <x:c r="D52" s="41" t="n">
        <x:v>19</x:v>
      </x:c>
      <x:c r="E52" s="41" t="n">
        <x:v>130</x:v>
      </x:c>
      <x:c r="F52" s="41" t="n">
        <x:v>3400</x:v>
      </x:c>
      <x:c r="G52" s="41" t="n">
        <x:v>1</x:v>
      </x:c>
      <x:c r="H52" s="41" t="n">
        <x:v>1</x:v>
      </x:c>
      <x:c r="I52" s="41" t="str">
        <x:v>Export rail A2</x:v>
      </x:c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 t="str">
        <x:v>LC2</x:v>
      </x:c>
      <x:c r="B53" s="41" t="str">
        <x:v>PORT2</x:v>
      </x:c>
      <x:c r="C53" s="41" t="str">
        <x:v>Water</x:v>
      </x:c>
      <x:c r="D53" s="41" t="n">
        <x:v>20</x:v>
      </x:c>
      <x:c r="E53" s="41" t="n">
        <x:v>120</x:v>
      </x:c>
      <x:c r="F53" s="41" t="n">
        <x:v>9800</x:v>
      </x:c>
      <x:c r="G53" s="41" t="n">
        <x:v>1</x:v>
      </x:c>
      <x:c r="H53" s="41" t="n">
        <x:v>1</x:v>
      </x:c>
      <x:c r="I53" s="41" t="str">
        <x:v>Export water B2</x:v>
      </x:c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 t="str">
        <x:v>LC2</x:v>
      </x:c>
      <x:c r="B54" s="41" t="str">
        <x:v>PORT2</x:v>
      </x:c>
      <x:c r="C54" s="41" t="str">
        <x:v>Sea</x:v>
      </x:c>
      <x:c r="D54" s="41" t="n">
        <x:v>23</x:v>
      </x:c>
      <x:c r="E54" s="41" t="n">
        <x:v>110</x:v>
      </x:c>
      <x:c r="F54" s="41" t="n">
        <x:v>11800</x:v>
      </x:c>
      <x:c r="G54" s="41" t="n">
        <x:v>1</x:v>
      </x:c>
      <x:c r="H54" s="41" t="n">
        <x:v>1</x:v>
      </x:c>
      <x:c r="I54" s="41" t="str">
        <x:v>Export sea B2</x:v>
      </x:c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 t="str">
        <x:v>PORTFEED</x:v>
      </x:c>
      <x:c r="B55" s="41" t="str">
        <x:v>COAST1</x:v>
      </x:c>
      <x:c r="C55" s="41" t="str">
        <x:v>Road</x:v>
      </x:c>
      <x:c r="D55" s="41" t="n">
        <x:v>12</x:v>
      </x:c>
      <x:c r="E55" s="41" t="n">
        <x:v>140</x:v>
      </x:c>
      <x:c r="F55" s="41" t="n">
        <x:v>6800</x:v>
      </x:c>
      <x:c r="G55" s="41" t="n">
        <x:v>1</x:v>
      </x:c>
      <x:c r="H55" s="41" t="n">
        <x:v>0</x:v>
      </x:c>
      <x:c r="I55" s="41" t="str">
        <x:v>Feeder to coast</x:v>
      </x:c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 t="str">
        <x:v>PORTFEED</x:v>
      </x:c>
      <x:c r="B56" s="41" t="str">
        <x:v>PORT</x:v>
      </x:c>
      <x:c r="C56" s="41" t="str">
        <x:v>Water</x:v>
      </x:c>
      <x:c r="D56" s="41" t="n">
        <x:v>19</x:v>
      </x:c>
      <x:c r="E56" s="41" t="n">
        <x:v>120</x:v>
      </x:c>
      <x:c r="F56" s="41" t="n">
        <x:v>9500</x:v>
      </x:c>
      <x:c r="G56" s="41" t="n">
        <x:v>1</x:v>
      </x:c>
      <x:c r="H56" s="41" t="n">
        <x:v>1</x:v>
      </x:c>
      <x:c r="I56" s="41" t="str">
        <x:v>Feeder water A</x:v>
      </x:c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 t="str">
        <x:v>PORTFEED</x:v>
      </x:c>
      <x:c r="B57" s="41" t="str">
        <x:v>PORT2</x:v>
      </x:c>
      <x:c r="C57" s="41" t="str">
        <x:v>Water</x:v>
      </x:c>
      <x:c r="D57" s="41" t="n">
        <x:v>18</x:v>
      </x:c>
      <x:c r="E57" s="41" t="n">
        <x:v>120</x:v>
      </x:c>
      <x:c r="F57" s="41" t="n">
        <x:v>9400</x:v>
      </x:c>
      <x:c r="G57" s="41" t="n">
        <x:v>1</x:v>
      </x:c>
      <x:c r="H57" s="41" t="n">
        <x:v>1</x:v>
      </x:c>
      <x:c r="I57" s="41" t="str">
        <x:v>Feeder water B</x:v>
      </x:c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 t="str">
        <x:v>PORTFEED</x:v>
      </x:c>
      <x:c r="B58" s="41" t="str">
        <x:v>PORT2</x:v>
      </x:c>
      <x:c r="C58" s="41" t="str">
        <x:v>Sea</x:v>
      </x:c>
      <x:c r="D58" s="41" t="n">
        <x:v>21</x:v>
      </x:c>
      <x:c r="E58" s="41" t="n">
        <x:v>110</x:v>
      </x:c>
      <x:c r="F58" s="41" t="n">
        <x:v>11200</x:v>
      </x:c>
      <x:c r="G58" s="41" t="n">
        <x:v>1</x:v>
      </x:c>
      <x:c r="H58" s="41" t="n">
        <x:v>1</x:v>
      </x:c>
      <x:c r="I58" s="41" t="str">
        <x:v>Feeder sea B</x:v>
      </x:c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 t="str">
        <x:v>ICD</x:v>
      </x:c>
      <x:c r="B59" s="41" t="str">
        <x:v>DC1</x:v>
      </x:c>
      <x:c r="C59" s="41" t="str">
        <x:v>Road</x:v>
      </x:c>
      <x:c r="D59" s="41" t="n">
        <x:v>23</x:v>
      </x:c>
      <x:c r="E59" s="41" t="n">
        <x:v>110</x:v>
      </x:c>
      <x:c r="F59" s="41" t="n">
        <x:v>6000</x:v>
      </x:c>
      <x:c r="G59" s="41" t="n">
        <x:v>1</x:v>
      </x:c>
      <x:c r="H59" s="41" t="n">
        <x:v>0</x:v>
      </x:c>
      <x:c r="I59" s="41" t="str">
        <x:v>ICD distribution</x:v>
      </x:c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 t="str">
        <x:v>ICD</x:v>
      </x:c>
      <x:c r="B60" s="41" t="str">
        <x:v>DC4</x:v>
      </x:c>
      <x:c r="C60" s="41" t="str">
        <x:v>Road</x:v>
      </x:c>
      <x:c r="D60" s="41" t="n">
        <x:v>22</x:v>
      </x:c>
      <x:c r="E60" s="41" t="n">
        <x:v>110</x:v>
      </x:c>
      <x:c r="F60" s="41" t="n">
        <x:v>6000</x:v>
      </x:c>
      <x:c r="G60" s="41" t="n">
        <x:v>1</x:v>
      </x:c>
      <x:c r="H60" s="41" t="n">
        <x:v>0</x:v>
      </x:c>
      <x:c r="I60" s="41" t="str">
        <x:v>ICD distribution</x:v>
      </x:c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 t="str">
        <x:v>ICD</x:v>
      </x:c>
      <x:c r="B61" s="41" t="str">
        <x:v>DC5</x:v>
      </x:c>
      <x:c r="C61" s="41" t="str">
        <x:v>Road</x:v>
      </x:c>
      <x:c r="D61" s="41" t="n">
        <x:v>21</x:v>
      </x:c>
      <x:c r="E61" s="41" t="n">
        <x:v>100</x:v>
      </x:c>
      <x:c r="F61" s="41" t="n">
        <x:v>6200</x:v>
      </x:c>
      <x:c r="G61" s="41" t="n">
        <x:v>1</x:v>
      </x:c>
      <x:c r="H61" s="41" t="n">
        <x:v>0</x:v>
      </x:c>
      <x:c r="I61" s="41" t="str">
        <x:v>ICD distribution</x:v>
      </x:c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 t="str">
        <x:v>ICD</x:v>
      </x:c>
      <x:c r="B62" s="41" t="str">
        <x:v>DRYPORT</x:v>
      </x:c>
      <x:c r="C62" s="41" t="str">
        <x:v>Road</x:v>
      </x:c>
      <x:c r="D62" s="41" t="n">
        <x:v>12</x:v>
      </x:c>
      <x:c r="E62" s="41" t="n">
        <x:v>130</x:v>
      </x:c>
      <x:c r="F62" s="41" t="n">
        <x:v>7200</x:v>
      </x:c>
      <x:c r="G62" s="41" t="n">
        <x:v>1</x:v>
      </x:c>
      <x:c r="H62" s="41" t="n">
        <x:v>0</x:v>
      </x:c>
      <x:c r="I62" s="41" t="str">
        <x:v>Dryport transfer</x:v>
      </x:c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 t="str">
        <x:v>ICD</x:v>
      </x:c>
      <x:c r="B63" s="41" t="str">
        <x:v>PORT</x:v>
      </x:c>
      <x:c r="C63" s="41" t="str">
        <x:v>Water</x:v>
      </x:c>
      <x:c r="D63" s="41" t="n">
        <x:v>20</x:v>
      </x:c>
      <x:c r="E63" s="41" t="n">
        <x:v>120</x:v>
      </x:c>
      <x:c r="F63" s="41" t="n">
        <x:v>6200</x:v>
      </x:c>
      <x:c r="G63" s="41" t="n">
        <x:v>1</x:v>
      </x:c>
      <x:c r="H63" s="41" t="n">
        <x:v>1</x:v>
      </x:c>
      <x:c r="I63" s="41" t="str">
        <x:v>Water export A</x:v>
      </x:c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 t="str">
        <x:v>ICD</x:v>
      </x:c>
      <x:c r="B64" s="41" t="str">
        <x:v>PORT2</x:v>
      </x:c>
      <x:c r="C64" s="41" t="str">
        <x:v>Water</x:v>
      </x:c>
      <x:c r="D64" s="41" t="n">
        <x:v>19</x:v>
      </x:c>
      <x:c r="E64" s="41" t="n">
        <x:v>120</x:v>
      </x:c>
      <x:c r="F64" s="41" t="n">
        <x:v>6300</x:v>
      </x:c>
      <x:c r="G64" s="41" t="n">
        <x:v>1</x:v>
      </x:c>
      <x:c r="H64" s="41" t="n">
        <x:v>1</x:v>
      </x:c>
      <x:c r="I64" s="41" t="str">
        <x:v>Water export B</x:v>
      </x:c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 t="str">
        <x:v>ICD2</x:v>
      </x:c>
      <x:c r="B65" s="41" t="str">
        <x:v>DC3</x:v>
      </x:c>
      <x:c r="C65" s="41" t="str">
        <x:v>Road</x:v>
      </x:c>
      <x:c r="D65" s="41" t="n">
        <x:v>21</x:v>
      </x:c>
      <x:c r="E65" s="41" t="n">
        <x:v>110</x:v>
      </x:c>
      <x:c r="F65" s="41" t="n">
        <x:v>6100</x:v>
      </x:c>
      <x:c r="G65" s="41" t="n">
        <x:v>1</x:v>
      </x:c>
      <x:c r="H65" s="41" t="n">
        <x:v>0</x:v>
      </x:c>
      <x:c r="I65" s="41" t="str">
        <x:v>ICD2 distribution</x:v>
      </x:c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 t="str">
        <x:v>ICD2</x:v>
      </x:c>
      <x:c r="B66" s="41" t="str">
        <x:v>DC4</x:v>
      </x:c>
      <x:c r="C66" s="41" t="str">
        <x:v>Road</x:v>
      </x:c>
      <x:c r="D66" s="41" t="n">
        <x:v>20</x:v>
      </x:c>
      <x:c r="E66" s="41" t="n">
        <x:v>110</x:v>
      </x:c>
      <x:c r="F66" s="41" t="n">
        <x:v>6100</x:v>
      </x:c>
      <x:c r="G66" s="41" t="n">
        <x:v>1</x:v>
      </x:c>
      <x:c r="H66" s="41" t="n">
        <x:v>0</x:v>
      </x:c>
      <x:c r="I66" s="41" t="str">
        <x:v>ICD2 distribution</x:v>
      </x:c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 t="str">
        <x:v>ICD2</x:v>
      </x:c>
      <x:c r="B67" s="41" t="str">
        <x:v>DC7</x:v>
      </x:c>
      <x:c r="C67" s="41" t="str">
        <x:v>Road</x:v>
      </x:c>
      <x:c r="D67" s="41" t="n">
        <x:v>20</x:v>
      </x:c>
      <x:c r="E67" s="41" t="n">
        <x:v>110</x:v>
      </x:c>
      <x:c r="F67" s="41" t="n">
        <x:v>6200</x:v>
      </x:c>
      <x:c r="G67" s="41" t="n">
        <x:v>1</x:v>
      </x:c>
      <x:c r="H67" s="41" t="n">
        <x:v>0</x:v>
      </x:c>
      <x:c r="I67" s="41" t="str">
        <x:v>ICD2 distribution coastal</x:v>
      </x:c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 t="str">
        <x:v>ICD2</x:v>
      </x:c>
      <x:c r="B68" s="41" t="str">
        <x:v>DRYPORT</x:v>
      </x:c>
      <x:c r="C68" s="41" t="str">
        <x:v>Road</x:v>
      </x:c>
      <x:c r="D68" s="41" t="n">
        <x:v>11</x:v>
      </x:c>
      <x:c r="E68" s="41" t="n">
        <x:v>130</x:v>
      </x:c>
      <x:c r="F68" s="41" t="n">
        <x:v>7100</x:v>
      </x:c>
      <x:c r="G68" s="41" t="n">
        <x:v>1</x:v>
      </x:c>
      <x:c r="H68" s="41" t="n">
        <x:v>0</x:v>
      </x:c>
      <x:c r="I68" s="41" t="str">
        <x:v>Dryport transfer</x:v>
      </x:c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 t="str">
        <x:v>ICD2</x:v>
      </x:c>
      <x:c r="B69" s="41" t="str">
        <x:v>PORT2</x:v>
      </x:c>
      <x:c r="C69" s="41" t="str">
        <x:v>Water</x:v>
      </x:c>
      <x:c r="D69" s="41" t="n">
        <x:v>18</x:v>
      </x:c>
      <x:c r="E69" s="41" t="n">
        <x:v>120</x:v>
      </x:c>
      <x:c r="F69" s="41" t="n">
        <x:v>6200</x:v>
      </x:c>
      <x:c r="G69" s="41" t="n">
        <x:v>1</x:v>
      </x:c>
      <x:c r="H69" s="41" t="n">
        <x:v>1</x:v>
      </x:c>
      <x:c r="I69" s="41" t="str">
        <x:v>Water export B</x:v>
      </x:c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 t="str">
        <x:v>HUB1</x:v>
      </x:c>
      <x:c r="B70" s="41" t="str">
        <x:v>DC1</x:v>
      </x:c>
      <x:c r="C70" s="41" t="str">
        <x:v>Road</x:v>
      </x:c>
      <x:c r="D70" s="41" t="n">
        <x:v>25</x:v>
      </x:c>
      <x:c r="E70" s="41" t="n">
        <x:v>100</x:v>
      </x:c>
      <x:c r="F70" s="41" t="n">
        <x:v>4300</x:v>
      </x:c>
      <x:c r="G70" s="41" t="n">
        <x:v>1</x:v>
      </x:c>
      <x:c r="H70" s="41" t="n">
        <x:v>0</x:v>
      </x:c>
      <x:c r="I70" s="41" t="str">
        <x:v>Hub north</x:v>
      </x:c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 t="str">
        <x:v>HUB1</x:v>
      </x:c>
      <x:c r="B71" s="41" t="str">
        <x:v>DC3</x:v>
      </x:c>
      <x:c r="C71" s="41" t="str">
        <x:v>Road</x:v>
      </x:c>
      <x:c r="D71" s="41" t="n">
        <x:v>22</x:v>
      </x:c>
      <x:c r="E71" s="41" t="n">
        <x:v>100</x:v>
      </x:c>
      <x:c r="F71" s="41" t="n">
        <x:v>4300</x:v>
      </x:c>
      <x:c r="G71" s="41" t="n">
        <x:v>1</x:v>
      </x:c>
      <x:c r="H71" s="41" t="n">
        <x:v>0</x:v>
      </x:c>
      <x:c r="I71" s="41" t="str">
        <x:v>Hub east</x:v>
      </x:c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 t="str">
        <x:v>HUB1</x:v>
      </x:c>
      <x:c r="B72" s="41" t="str">
        <x:v>DC6</x:v>
      </x:c>
      <x:c r="C72" s="41" t="str">
        <x:v>Road</x:v>
      </x:c>
      <x:c r="D72" s="41" t="n">
        <x:v>21</x:v>
      </x:c>
      <x:c r="E72" s="41" t="n">
        <x:v>100</x:v>
      </x:c>
      <x:c r="F72" s="41" t="n">
        <x:v>4300</x:v>
      </x:c>
      <x:c r="G72" s="41" t="n">
        <x:v>1</x:v>
      </x:c>
      <x:c r="H72" s="41" t="n">
        <x:v>0</x:v>
      </x:c>
      <x:c r="I72" s="41" t="str">
        <x:v>Hub west</x:v>
      </x:c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 t="str">
        <x:v>HUB1</x:v>
      </x:c>
      <x:c r="B73" s="41" t="str">
        <x:v>DRYPORT</x:v>
      </x:c>
      <x:c r="C73" s="41" t="str">
        <x:v>Road</x:v>
      </x:c>
      <x:c r="D73" s="41" t="n">
        <x:v>14</x:v>
      </x:c>
      <x:c r="E73" s="41" t="n">
        <x:v>110</x:v>
      </x:c>
      <x:c r="F73" s="41" t="n">
        <x:v>7000</x:v>
      </x:c>
      <x:c r="G73" s="41" t="n">
        <x:v>1</x:v>
      </x:c>
      <x:c r="H73" s="41" t="n">
        <x:v>0</x:v>
      </x:c>
      <x:c r="I73" s="41" t="str">
        <x:v>Dryport transfer</x:v>
      </x:c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 t="str">
        <x:v>HUB2</x:v>
      </x:c>
      <x:c r="B74" s="41" t="str">
        <x:v>DC4</x:v>
      </x:c>
      <x:c r="C74" s="41" t="str">
        <x:v>Road</x:v>
      </x:c>
      <x:c r="D74" s="41" t="n">
        <x:v>23</x:v>
      </x:c>
      <x:c r="E74" s="41" t="n">
        <x:v>100</x:v>
      </x:c>
      <x:c r="F74" s="41" t="n">
        <x:v>4300</x:v>
      </x:c>
      <x:c r="G74" s="41" t="n">
        <x:v>1</x:v>
      </x:c>
      <x:c r="H74" s="41" t="n">
        <x:v>0</x:v>
      </x:c>
      <x:c r="I74" s="41" t="str">
        <x:v>Hub south</x:v>
      </x:c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 t="str">
        <x:v>HUB2</x:v>
      </x:c>
      <x:c r="B75" s="41" t="str">
        <x:v>DC5</x:v>
      </x:c>
      <x:c r="C75" s="41" t="str">
        <x:v>Road</x:v>
      </x:c>
      <x:c r="D75" s="41" t="n">
        <x:v>22</x:v>
      </x:c>
      <x:c r="E75" s="41" t="n">
        <x:v>100</x:v>
      </x:c>
      <x:c r="F75" s="41" t="n">
        <x:v>4300</x:v>
      </x:c>
      <x:c r="G75" s="41" t="n">
        <x:v>1</x:v>
      </x:c>
      <x:c r="H75" s="41" t="n">
        <x:v>0</x:v>
      </x:c>
      <x:c r="I75" s="41" t="str">
        <x:v>Hub south</x:v>
      </x:c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 t="str">
        <x:v>HUB2</x:v>
      </x:c>
      <x:c r="B76" s="41" t="str">
        <x:v>DC7</x:v>
      </x:c>
      <x:c r="C76" s="41" t="str">
        <x:v>Road</x:v>
      </x:c>
      <x:c r="D76" s="41" t="n">
        <x:v>20</x:v>
      </x:c>
      <x:c r="E76" s="41" t="n">
        <x:v>100</x:v>
      </x:c>
      <x:c r="F76" s="41" t="n">
        <x:v>4300</x:v>
      </x:c>
      <x:c r="G76" s="41" t="n">
        <x:v>1</x:v>
      </x:c>
      <x:c r="H76" s="41" t="n">
        <x:v>0</x:v>
      </x:c>
      <x:c r="I76" s="41" t="str">
        <x:v>Hub coastal</x:v>
      </x:c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 t="str">
        <x:v>HUB2</x:v>
      </x:c>
      <x:c r="B77" s="41" t="str">
        <x:v>COAST1</x:v>
      </x:c>
      <x:c r="C77" s="41" t="str">
        <x:v>Road</x:v>
      </x:c>
      <x:c r="D77" s="41" t="n">
        <x:v>12</x:v>
      </x:c>
      <x:c r="E77" s="41" t="n">
        <x:v>110</x:v>
      </x:c>
      <x:c r="F77" s="41" t="n">
        <x:v>6900</x:v>
      </x:c>
      <x:c r="G77" s="41" t="n">
        <x:v>1</x:v>
      </x:c>
      <x:c r="H77" s="41" t="n">
        <x:v>0</x:v>
      </x:c>
      <x:c r="I77" s="41" t="str">
        <x:v>Coastal feeder</x:v>
      </x:c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 t="str">
        <x:v>RAIL1</x:v>
      </x:c>
      <x:c r="B78" s="41" t="str">
        <x:v>DC3</x:v>
      </x:c>
      <x:c r="C78" s="41" t="str">
        <x:v>Rail</x:v>
      </x:c>
      <x:c r="D78" s="41" t="n">
        <x:v>30</x:v>
      </x:c>
      <x:c r="E78" s="41" t="n">
        <x:v>110</x:v>
      </x:c>
      <x:c r="F78" s="41" t="n">
        <x:v>9000</x:v>
      </x:c>
      <x:c r="G78" s="41" t="n">
        <x:v>1</x:v>
      </x:c>
      <x:c r="H78" s="41" t="n">
        <x:v>0</x:v>
      </x:c>
      <x:c r="I78" s="41" t="str">
        <x:v>Rail distribution</x:v>
      </x:c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 t="str">
        <x:v>RAIL1</x:v>
      </x:c>
      <x:c r="B79" s="41" t="str">
        <x:v>DC7</x:v>
      </x:c>
      <x:c r="C79" s="41" t="str">
        <x:v>Rail</x:v>
      </x:c>
      <x:c r="D79" s="41" t="n">
        <x:v>29</x:v>
      </x:c>
      <x:c r="E79" s="41" t="n">
        <x:v>100</x:v>
      </x:c>
      <x:c r="F79" s="41" t="n">
        <x:v>9000</x:v>
      </x:c>
      <x:c r="G79" s="41" t="n">
        <x:v>1</x:v>
      </x:c>
      <x:c r="H79" s="41" t="n">
        <x:v>0</x:v>
      </x:c>
      <x:c r="I79" s="41" t="str">
        <x:v>Rail coastal</x:v>
      </x:c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 t="str">
        <x:v>RAIL1</x:v>
      </x:c>
      <x:c r="B80" s="41" t="str">
        <x:v>DRYPORT</x:v>
      </x:c>
      <x:c r="C80" s="41" t="str">
        <x:v>Rail</x:v>
      </x:c>
      <x:c r="D80" s="41" t="n">
        <x:v>11</x:v>
      </x:c>
      <x:c r="E80" s="41" t="n">
        <x:v>120</x:v>
      </x:c>
      <x:c r="F80" s="41" t="n">
        <x:v>7600</x:v>
      </x:c>
      <x:c r="G80" s="41" t="n">
        <x:v>1</x:v>
      </x:c>
      <x:c r="H80" s="41" t="n">
        <x:v>0</x:v>
      </x:c>
      <x:c r="I80" s="41" t="str">
        <x:v>Rail to dryport</x:v>
      </x:c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 t="str">
        <x:v>RAIL1</x:v>
      </x:c>
      <x:c r="B81" s="41" t="str">
        <x:v>PORT</x:v>
      </x:c>
      <x:c r="C81" s="41" t="str">
        <x:v>Rail</x:v>
      </x:c>
      <x:c r="D81" s="41" t="n">
        <x:v>16</x:v>
      </x:c>
      <x:c r="E81" s="41" t="n">
        <x:v>130</x:v>
      </x:c>
      <x:c r="F81" s="41" t="n">
        <x:v>3600</x:v>
      </x:c>
      <x:c r="G81" s="41" t="n">
        <x:v>1</x:v>
      </x:c>
      <x:c r="H81" s="41" t="n">
        <x:v>1</x:v>
      </x:c>
      <x:c r="I81" s="41" t="str">
        <x:v>Rail export A</x:v>
      </x:c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 t="str">
        <x:v>RAIL1</x:v>
      </x:c>
      <x:c r="B82" s="41" t="str">
        <x:v>PORT2</x:v>
      </x:c>
      <x:c r="C82" s="41" t="str">
        <x:v>Rail</x:v>
      </x:c>
      <x:c r="D82" s="41" t="n">
        <x:v>15</x:v>
      </x:c>
      <x:c r="E82" s="41" t="n">
        <x:v>130</x:v>
      </x:c>
      <x:c r="F82" s="41" t="n">
        <x:v>3500</x:v>
      </x:c>
      <x:c r="G82" s="41" t="n">
        <x:v>1</x:v>
      </x:c>
      <x:c r="H82" s="41" t="n">
        <x:v>1</x:v>
      </x:c>
      <x:c r="I82" s="41" t="str">
        <x:v>Rail export B</x:v>
      </x:c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 t="str">
        <x:v>DRYPORT</x:v>
      </x:c>
      <x:c r="B83" s="41" t="str">
        <x:v>PORT</x:v>
      </x:c>
      <x:c r="C83" s="41" t="str">
        <x:v>Road</x:v>
      </x:c>
      <x:c r="D83" s="41" t="n">
        <x:v>14</x:v>
      </x:c>
      <x:c r="E83" s="41" t="n">
        <x:v>140</x:v>
      </x:c>
      <x:c r="F83" s="41" t="n">
        <x:v>5000</x:v>
      </x:c>
      <x:c r="G83" s="41" t="n">
        <x:v>1</x:v>
      </x:c>
      <x:c r="H83" s="41" t="n">
        <x:v>1</x:v>
      </x:c>
      <x:c r="I83" s="41" t="str">
        <x:v>Dryport export A</x:v>
      </x:c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 t="str">
        <x:v>DRYPORT</x:v>
      </x:c>
      <x:c r="B84" s="41" t="str">
        <x:v>PORT2</x:v>
      </x:c>
      <x:c r="C84" s="41" t="str">
        <x:v>Road</x:v>
      </x:c>
      <x:c r="D84" s="41" t="n">
        <x:v>13</x:v>
      </x:c>
      <x:c r="E84" s="41" t="n">
        <x:v>140</x:v>
      </x:c>
      <x:c r="F84" s="41" t="n">
        <x:v>5000</x:v>
      </x:c>
      <x:c r="G84" s="41" t="n">
        <x:v>1</x:v>
      </x:c>
      <x:c r="H84" s="41" t="n">
        <x:v>1</x:v>
      </x:c>
      <x:c r="I84" s="41" t="str">
        <x:v>Dryport export B</x:v>
      </x:c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 t="str">
        <x:v>DRYPORT</x:v>
      </x:c>
      <x:c r="B85" s="41" t="str">
        <x:v>PORT</x:v>
      </x:c>
      <x:c r="C85" s="41" t="str">
        <x:v>Rail</x:v>
      </x:c>
      <x:c r="D85" s="41" t="n">
        <x:v>12</x:v>
      </x:c>
      <x:c r="E85" s="41" t="n">
        <x:v>130</x:v>
      </x:c>
      <x:c r="F85" s="41" t="n">
        <x:v>4200</x:v>
      </x:c>
      <x:c r="G85" s="41" t="n">
        <x:v>1</x:v>
      </x:c>
      <x:c r="H85" s="41" t="n">
        <x:v>1</x:v>
      </x:c>
      <x:c r="I85" s="41" t="str">
        <x:v>Dryport rail A</x:v>
      </x:c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 t="str">
        <x:v>DRYPORT</x:v>
      </x:c>
      <x:c r="B86" s="41" t="str">
        <x:v>PORT2</x:v>
      </x:c>
      <x:c r="C86" s="41" t="str">
        <x:v>Rail</x:v>
      </x:c>
      <x:c r="D86" s="41" t="n">
        <x:v>11</x:v>
      </x:c>
      <x:c r="E86" s="41" t="n">
        <x:v>130</x:v>
      </x:c>
      <x:c r="F86" s="41" t="n">
        <x:v>4200</x:v>
      </x:c>
      <x:c r="G86" s="41" t="n">
        <x:v>1</x:v>
      </x:c>
      <x:c r="H86" s="41" t="n">
        <x:v>1</x:v>
      </x:c>
      <x:c r="I86" s="41" t="str">
        <x:v>Dryport rail B</x:v>
      </x:c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 t="str">
        <x:v>COAST1</x:v>
      </x:c>
      <x:c r="B87" s="41" t="str">
        <x:v>PORT</x:v>
      </x:c>
      <x:c r="C87" s="41" t="str">
        <x:v>Water</x:v>
      </x:c>
      <x:c r="D87" s="41" t="n">
        <x:v>17</x:v>
      </x:c>
      <x:c r="E87" s="41" t="n">
        <x:v>120</x:v>
      </x:c>
      <x:c r="F87" s="41" t="n">
        <x:v>8800</x:v>
      </x:c>
      <x:c r="G87" s="41" t="n">
        <x:v>1</x:v>
      </x:c>
      <x:c r="H87" s="41" t="n">
        <x:v>1</x:v>
      </x:c>
      <x:c r="I87" s="41" t="str">
        <x:v>Coastal water A</x:v>
      </x:c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 t="str">
        <x:v>COAST1</x:v>
      </x:c>
      <x:c r="B88" s="41" t="str">
        <x:v>PORT2</x:v>
      </x:c>
      <x:c r="C88" s="41" t="str">
        <x:v>Water</x:v>
      </x:c>
      <x:c r="D88" s="41" t="n">
        <x:v>16</x:v>
      </x:c>
      <x:c r="E88" s="41" t="n">
        <x:v>120</x:v>
      </x:c>
      <x:c r="F88" s="41" t="n">
        <x:v>8600</x:v>
      </x:c>
      <x:c r="G88" s="41" t="n">
        <x:v>1</x:v>
      </x:c>
      <x:c r="H88" s="41" t="n">
        <x:v>1</x:v>
      </x:c>
      <x:c r="I88" s="41" t="str">
        <x:v>Coastal water B</x:v>
      </x:c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 t="str">
        <x:v>COAST1</x:v>
      </x:c>
      <x:c r="B89" s="41" t="str">
        <x:v>PORT2</x:v>
      </x:c>
      <x:c r="C89" s="41" t="str">
        <x:v>Sea</x:v>
      </x:c>
      <x:c r="D89" s="41" t="n">
        <x:v>19</x:v>
      </x:c>
      <x:c r="E89" s="41" t="n">
        <x:v>110</x:v>
      </x:c>
      <x:c r="F89" s="41" t="n">
        <x:v>10400</x:v>
      </x:c>
      <x:c r="G89" s="41" t="n">
        <x:v>1</x:v>
      </x:c>
      <x:c r="H89" s="41" t="n">
        <x:v>1</x:v>
      </x:c>
      <x:c r="I89" s="41" t="str">
        <x:v>Coastal sea B</x:v>
      </x:c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 t="str">
        <x:v>IP1</x:v>
      </x:c>
      <x:c r="B90" s="41" t="str">
        <x:v>DC1</x:v>
      </x:c>
      <x:c r="C90" s="41" t="str">
        <x:v>Road</x:v>
      </x:c>
      <x:c r="D90" s="41" t="n">
        <x:v>55</x:v>
      </x:c>
      <x:c r="E90" s="41" t="n">
        <x:v>100</x:v>
      </x:c>
      <x:c r="F90" s="41" t="n">
        <x:v>0</x:v>
      </x:c>
      <x:c r="G90" s="41" t="n">
        <x:v>1</x:v>
      </x:c>
      <x:c r="H90" s="41" t="n">
        <x:v>0</x:v>
      </x:c>
      <x:c r="I90" s="41" t="str">
        <x:v>Direct expensive</x:v>
      </x:c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 t="str">
        <x:v>IP1</x:v>
      </x:c>
      <x:c r="B91" s="41" t="str">
        <x:v>DC2</x:v>
      </x:c>
      <x:c r="C91" s="41" t="str">
        <x:v>Road</x:v>
      </x:c>
      <x:c r="D91" s="41" t="n">
        <x:v>58</x:v>
      </x:c>
      <x:c r="E91" s="41" t="n">
        <x:v>100</x:v>
      </x:c>
      <x:c r="F91" s="41" t="n">
        <x:v>0</x:v>
      </x:c>
      <x:c r="G91" s="41" t="n">
        <x:v>1</x:v>
      </x:c>
      <x:c r="H91" s="41" t="n">
        <x:v>0</x:v>
      </x:c>
      <x:c r="I91" s="41" t="str">
        <x:v>Direct expensive</x:v>
      </x:c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 t="str">
        <x:v>IP2</x:v>
      </x:c>
      <x:c r="B92" s="41" t="str">
        <x:v>DC3</x:v>
      </x:c>
      <x:c r="C92" s="41" t="str">
        <x:v>Road</x:v>
      </x:c>
      <x:c r="D92" s="41" t="n">
        <x:v>54</x:v>
      </x:c>
      <x:c r="E92" s="41" t="n">
        <x:v>100</x:v>
      </x:c>
      <x:c r="F92" s="41" t="n">
        <x:v>0</x:v>
      </x:c>
      <x:c r="G92" s="41" t="n">
        <x:v>1</x:v>
      </x:c>
      <x:c r="H92" s="41" t="n">
        <x:v>0</x:v>
      </x:c>
      <x:c r="I92" s="41" t="str">
        <x:v>Direct expensive</x:v>
      </x:c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 t="str">
        <x:v>IP3</x:v>
      </x:c>
      <x:c r="B93" s="41" t="str">
        <x:v>DC4</x:v>
      </x:c>
      <x:c r="C93" s="41" t="str">
        <x:v>Road</x:v>
      </x:c>
      <x:c r="D93" s="41" t="n">
        <x:v>52</x:v>
      </x:c>
      <x:c r="E93" s="41" t="n">
        <x:v>100</x:v>
      </x:c>
      <x:c r="F93" s="41" t="n">
        <x:v>0</x:v>
      </x:c>
      <x:c r="G93" s="41" t="n">
        <x:v>1</x:v>
      </x:c>
      <x:c r="H93" s="41" t="n">
        <x:v>0</x:v>
      </x:c>
      <x:c r="I93" s="41" t="str">
        <x:v>Direct expensive</x:v>
      </x:c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 t="str">
        <x:v>IP4</x:v>
      </x:c>
      <x:c r="B94" s="41" t="str">
        <x:v>DC5</x:v>
      </x:c>
      <x:c r="C94" s="41" t="str">
        <x:v>Road</x:v>
      </x:c>
      <x:c r="D94" s="41" t="n">
        <x:v>53</x:v>
      </x:c>
      <x:c r="E94" s="41" t="n">
        <x:v>100</x:v>
      </x:c>
      <x:c r="F94" s="41" t="n">
        <x:v>0</x:v>
      </x:c>
      <x:c r="G94" s="41" t="n">
        <x:v>1</x:v>
      </x:c>
      <x:c r="H94" s="41" t="n">
        <x:v>0</x:v>
      </x:c>
      <x:c r="I94" s="41" t="str">
        <x:v>Direct expensive</x:v>
      </x:c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 t="str">
        <x:v>IP5</x:v>
      </x:c>
      <x:c r="B95" s="41" t="str">
        <x:v>DC6</x:v>
      </x:c>
      <x:c r="C95" s="41" t="str">
        <x:v>Road</x:v>
      </x:c>
      <x:c r="D95" s="41" t="n">
        <x:v>50</x:v>
      </x:c>
      <x:c r="E95" s="41" t="n">
        <x:v>100</x:v>
      </x:c>
      <x:c r="F95" s="41" t="n">
        <x:v>0</x:v>
      </x:c>
      <x:c r="G95" s="41" t="n">
        <x:v>1</x:v>
      </x:c>
      <x:c r="H95" s="41" t="n">
        <x:v>0</x:v>
      </x:c>
      <x:c r="I95" s="41" t="str">
        <x:v>Direct expensive</x:v>
      </x:c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 t="str">
        <x:v>IP6</x:v>
      </x:c>
      <x:c r="B96" s="41" t="str">
        <x:v>DC7</x:v>
      </x:c>
      <x:c r="C96" s="41" t="str">
        <x:v>Road</x:v>
      </x:c>
      <x:c r="D96" s="41" t="n">
        <x:v>49</x:v>
      </x:c>
      <x:c r="E96" s="41" t="n">
        <x:v>100</x:v>
      </x:c>
      <x:c r="F96" s="41" t="n">
        <x:v>0</x:v>
      </x:c>
      <x:c r="G96" s="41" t="n">
        <x:v>1</x:v>
      </x:c>
      <x:c r="H96" s="41" t="n">
        <x:v>0</x:v>
      </x:c>
      <x:c r="I96" s="41" t="str">
        <x:v>Direct expensive</x:v>
      </x:c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 t="str">
        <x:v>IP1</x:v>
      </x:c>
      <x:c r="B97" s="41" t="str">
        <x:v>PORT</x:v>
      </x:c>
      <x:c r="C97" s="41" t="str">
        <x:v>Road</x:v>
      </x:c>
      <x:c r="D97" s="41" t="n">
        <x:v>70</x:v>
      </x:c>
      <x:c r="E97" s="41" t="n">
        <x:v>100</x:v>
      </x:c>
      <x:c r="F97" s="41" t="n">
        <x:v>0</x:v>
      </x:c>
      <x:c r="G97" s="41" t="n">
        <x:v>1</x:v>
      </x:c>
      <x:c r="H97" s="41" t="n">
        <x:v>1</x:v>
      </x:c>
      <x:c r="I97" s="41" t="str">
        <x:v>Direct export</x:v>
      </x:c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 t="str">
        <x:v>IP2</x:v>
      </x:c>
      <x:c r="B98" s="41" t="str">
        <x:v>PORT2</x:v>
      </x:c>
      <x:c r="C98" s="41" t="str">
        <x:v>Road</x:v>
      </x:c>
      <x:c r="D98" s="41" t="n">
        <x:v>71</x:v>
      </x:c>
      <x:c r="E98" s="41" t="n">
        <x:v>100</x:v>
      </x:c>
      <x:c r="F98" s="41" t="n">
        <x:v>0</x:v>
      </x:c>
      <x:c r="G98" s="41" t="n">
        <x:v>1</x:v>
      </x:c>
      <x:c r="H98" s="41" t="n">
        <x:v>1</x:v>
      </x:c>
      <x:c r="I98" s="41" t="str">
        <x:v>Direct export</x:v>
      </x:c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 t="str">
        <x:v>IP3</x:v>
      </x:c>
      <x:c r="B99" s="41" t="str">
        <x:v>PORT</x:v>
      </x:c>
      <x:c r="C99" s="41" t="str">
        <x:v>Road</x:v>
      </x:c>
      <x:c r="D99" s="41" t="n">
        <x:v>68</x:v>
      </x:c>
      <x:c r="E99" s="41" t="n">
        <x:v>110</x:v>
      </x:c>
      <x:c r="F99" s="41" t="n">
        <x:v>0</x:v>
      </x:c>
      <x:c r="G99" s="41" t="n">
        <x:v>1</x:v>
      </x:c>
      <x:c r="H99" s="41" t="n">
        <x:v>1</x:v>
      </x:c>
      <x:c r="I99" s="41" t="str">
        <x:v>Direct export</x:v>
      </x:c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 t="str">
        <x:v>IP4</x:v>
      </x:c>
      <x:c r="B100" s="41" t="str">
        <x:v>PORT2</x:v>
      </x:c>
      <x:c r="C100" s="41" t="str">
        <x:v>Road</x:v>
      </x:c>
      <x:c r="D100" s="41" t="n">
        <x:v>69</x:v>
      </x:c>
      <x:c r="E100" s="41" t="n">
        <x:v>110</x:v>
      </x:c>
      <x:c r="F100" s="41" t="n">
        <x:v>0</x:v>
      </x:c>
      <x:c r="G100" s="41" t="n">
        <x:v>1</x:v>
      </x:c>
      <x:c r="H100" s="41" t="n">
        <x:v>1</x:v>
      </x:c>
      <x:c r="I100" s="41" t="str">
        <x:v>Direct export</x:v>
      </x:c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 t="str">
        <x:v>IP5</x:v>
      </x:c>
      <x:c r="B101" s="41" t="str">
        <x:v>PORT</x:v>
      </x:c>
      <x:c r="C101" s="41" t="str">
        <x:v>Road</x:v>
      </x:c>
      <x:c r="D101" s="41" t="n">
        <x:v>67</x:v>
      </x:c>
      <x:c r="E101" s="41" t="n">
        <x:v>100</x:v>
      </x:c>
      <x:c r="F101" s="41" t="n">
        <x:v>0</x:v>
      </x:c>
      <x:c r="G101" s="41" t="n">
        <x:v>1</x:v>
      </x:c>
      <x:c r="H101" s="41" t="n">
        <x:v>1</x:v>
      </x:c>
      <x:c r="I101" s="41" t="str">
        <x:v>Direct export</x:v>
      </x:c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 t="str">
        <x:v>IP6</x:v>
      </x:c>
      <x:c r="B102" s="41" t="str">
        <x:v>PORT2</x:v>
      </x:c>
      <x:c r="C102" s="41" t="str">
        <x:v>Road</x:v>
      </x:c>
      <x:c r="D102" s="41" t="n">
        <x:v>66</x:v>
      </x:c>
      <x:c r="E102" s="41" t="n">
        <x:v>100</x:v>
      </x:c>
      <x:c r="F102" s="41" t="n">
        <x:v>0</x:v>
      </x:c>
      <x:c r="G102" s="41" t="n">
        <x:v>1</x:v>
      </x:c>
      <x:c r="H102" s="41" t="n">
        <x:v>1</x:v>
      </x:c>
      <x:c r="I102" s="41" t="str">
        <x:v>Direct export</x:v>
      </x:c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4.399999618530273"/>
  <x:cols>
    <x:col min="1" max="1" width="7" customWidth="1"/>
    <x:col min="2" max="2" width="8" customWidth="1"/>
    <x:col min="3" max="4" width="10" customWidth="1"/>
    <x:col min="5" max="5" width="9" customWidth="1"/>
    <x:col min="6" max="8" width="11" customWidth="1"/>
    <x:col min="9" max="9" width="9" customWidth="1"/>
  </x:cols>
  <x:sheetData>
    <x:row r="1" ht="19.5" customHeight="1">
      <x:c r="A1" t="str">
        <x:v>This sheet will be regenerated after running the model with the new complex input data.</x:v>
      </x:c>
      <x:c r="B1"/>
      <x:c r="C1"/>
      <x:c r="D1"/>
      <x:c r="E1"/>
      <x:c r="F1"/>
      <x:c r="G1"/>
      <x:c r="H1"/>
      <x:c r="I1"/>
    </x:row>
    <x:row r="3" ht="15" customHeight="1">
      <x:c r="A3"/>
      <x:c r="B3"/>
      <x:c r="C3"/>
      <x:c r="D3"/>
      <x:c r="E3"/>
      <x:c r="F3"/>
      <x:c r="G3"/>
      <x:c r="H3"/>
      <x:c r="I3"/>
    </x:row>
    <x:row r="4" ht="15" customHeight="1">
      <x:c r="A4"/>
      <x:c r="B4"/>
      <x:c r="C4"/>
      <x:c r="D4"/>
      <x:c r="E4"/>
      <x:c r="F4"/>
      <x:c r="G4"/>
      <x:c r="H4"/>
      <x:c r="I4"/>
    </x:row>
    <x:row r="5" ht="15" customHeight="1">
      <x:c r="A5"/>
      <x:c r="B5"/>
      <x:c r="C5"/>
      <x:c r="D5"/>
      <x:c r="E5"/>
      <x:c r="F5"/>
      <x:c r="G5"/>
      <x:c r="H5"/>
      <x:c r="I5"/>
    </x:row>
    <x:row r="6" ht="15" customHeight="1">
      <x:c r="A6"/>
      <x:c r="B6"/>
      <x:c r="C6"/>
      <x:c r="D6"/>
      <x:c r="E6"/>
      <x:c r="F6"/>
      <x:c r="G6"/>
      <x:c r="H6"/>
      <x:c r="I6"/>
    </x:row>
    <x:row r="7" ht="15" customHeight="1">
      <x:c r="A7"/>
      <x:c r="B7"/>
      <x:c r="C7"/>
      <x:c r="D7"/>
      <x:c r="E7"/>
      <x:c r="F7"/>
      <x:c r="G7"/>
      <x:c r="H7"/>
      <x:c r="I7"/>
    </x:row>
    <x:row r="8" ht="15" customHeight="1">
      <x:c r="A8"/>
      <x:c r="B8"/>
      <x:c r="C8"/>
      <x:c r="D8"/>
      <x:c r="E8"/>
      <x:c r="F8"/>
      <x:c r="G8"/>
      <x:c r="H8"/>
      <x:c r="I8"/>
    </x:row>
    <x:row r="9" ht="15" customHeight="1">
      <x:c r="A9"/>
      <x:c r="B9"/>
      <x:c r="C9"/>
      <x:c r="D9"/>
      <x:c r="E9"/>
      <x:c r="F9"/>
      <x:c r="G9"/>
      <x:c r="H9"/>
      <x:c r="I9"/>
    </x:row>
    <x:row r="10" ht="15" customHeight="1">
      <x:c r="A10"/>
      <x:c r="B10"/>
      <x:c r="C10"/>
      <x:c r="D10"/>
      <x:c r="E10"/>
      <x:c r="F10"/>
      <x:c r="G10"/>
      <x:c r="H10"/>
      <x:c r="I10"/>
    </x:row>
    <x:row r="11" ht="15" customHeight="1">
      <x:c r="A11"/>
      <x:c r="B11"/>
      <x:c r="C11"/>
      <x:c r="D11"/>
      <x:c r="E11"/>
      <x:c r="F11"/>
      <x:c r="G11"/>
      <x:c r="H11"/>
      <x:c r="I11"/>
    </x:row>
    <x:row r="12" ht="15" customHeight="1">
      <x:c r="A12"/>
      <x:c r="B12"/>
      <x:c r="C12"/>
      <x:c r="D12"/>
      <x:c r="E12"/>
      <x:c r="F12"/>
      <x:c r="G12"/>
      <x:c r="H12"/>
      <x:c r="I12"/>
    </x:row>
    <x:row r="13" ht="15" customHeight="1">
      <x:c r="A13"/>
      <x:c r="B13"/>
      <x:c r="C13"/>
      <x:c r="D13"/>
      <x:c r="E13"/>
      <x:c r="F13"/>
      <x:c r="G13"/>
      <x:c r="H13"/>
      <x:c r="I13"/>
    </x:row>
    <x:row r="14" ht="15" customHeight="1">
      <x:c r="A14"/>
      <x:c r="B14"/>
      <x:c r="C14"/>
      <x:c r="D14"/>
      <x:c r="E14"/>
      <x:c r="F14"/>
      <x:c r="G14"/>
      <x:c r="H14"/>
      <x:c r="I14"/>
    </x:row>
    <x:row r="15" ht="15" customHeight="1">
      <x:c r="A15"/>
      <x:c r="B15"/>
      <x:c r="C15"/>
      <x:c r="D15"/>
      <x:c r="E15"/>
      <x:c r="F15"/>
      <x:c r="G15"/>
      <x:c r="H15"/>
      <x:c r="I15"/>
    </x:row>
    <x:row r="16" ht="15" customHeight="1">
      <x:c r="A16"/>
      <x:c r="B16"/>
      <x:c r="C16"/>
      <x:c r="D16"/>
      <x:c r="E16"/>
      <x:c r="F16"/>
      <x:c r="G16"/>
      <x:c r="H16"/>
      <x:c r="I16"/>
    </x:row>
    <x:row r="17" ht="15" customHeight="1">
      <x:c r="A17"/>
      <x:c r="B17"/>
      <x:c r="C17"/>
      <x:c r="D17"/>
      <x:c r="E17"/>
      <x:c r="F17"/>
      <x:c r="G17"/>
      <x:c r="H17"/>
      <x:c r="I17"/>
    </x:row>
    <x:row r="18" ht="15" customHeight="1">
      <x:c r="A18"/>
      <x:c r="B18"/>
      <x:c r="C18"/>
      <x:c r="D18"/>
      <x:c r="E18"/>
      <x:c r="F18"/>
      <x:c r="G18"/>
      <x:c r="H18"/>
      <x:c r="I18"/>
    </x:row>
    <x:row r="19" ht="15" customHeight="1">
      <x:c r="A19"/>
      <x:c r="B19"/>
      <x:c r="C19"/>
      <x:c r="D19"/>
      <x:c r="E19"/>
      <x:c r="F19"/>
      <x:c r="G19"/>
      <x:c r="H19"/>
      <x:c r="I19"/>
    </x:row>
    <x:row r="20" ht="15" customHeight="1">
      <x:c r="A20"/>
      <x:c r="B20"/>
      <x:c r="C20"/>
      <x:c r="D20"/>
      <x:c r="E20"/>
      <x:c r="F20"/>
      <x:c r="G20"/>
      <x:c r="H20"/>
      <x:c r="I20"/>
    </x:row>
    <x:row r="21" ht="15" customHeight="1">
      <x:c r="A21"/>
      <x:c r="B21"/>
      <x:c r="C21"/>
      <x:c r="D21"/>
      <x:c r="E21"/>
      <x:c r="F21"/>
      <x:c r="G21"/>
      <x:c r="H21"/>
      <x:c r="I21"/>
    </x:row>
    <x:row r="22" ht="15" customHeight="1">
      <x:c r="A22"/>
      <x:c r="B22"/>
      <x:c r="C22"/>
      <x:c r="D22"/>
      <x:c r="E22"/>
      <x:c r="F22"/>
      <x:c r="G22"/>
      <x:c r="H22"/>
      <x:c r="I22"/>
    </x:row>
    <x:row r="23" ht="15" customHeight="1">
      <x:c r="A23"/>
      <x:c r="B23"/>
      <x:c r="C23"/>
      <x:c r="D23"/>
      <x:c r="E23"/>
      <x:c r="F23"/>
      <x:c r="G23"/>
      <x:c r="H23"/>
      <x:c r="I23"/>
    </x:row>
    <x:row r="24" ht="15" customHeight="1">
      <x:c r="A24"/>
      <x:c r="B24"/>
      <x:c r="C24"/>
      <x:c r="D24"/>
      <x:c r="E24"/>
      <x:c r="F24"/>
      <x:c r="G24"/>
      <x:c r="H24"/>
      <x:c r="I24"/>
    </x:row>
    <x:row r="25" ht="15" customHeight="1">
      <x:c r="A25"/>
      <x:c r="B25"/>
      <x:c r="C25"/>
      <x:c r="D25"/>
      <x:c r="E25"/>
      <x:c r="F25"/>
      <x:c r="G25"/>
      <x:c r="H25"/>
      <x:c r="I25"/>
    </x:row>
    <x:row r="26" ht="15" customHeight="1">
      <x:c r="A26"/>
      <x:c r="B26"/>
      <x:c r="C26"/>
      <x:c r="D26"/>
      <x:c r="E26"/>
      <x:c r="F26"/>
      <x:c r="G26"/>
      <x:c r="H26"/>
      <x:c r="I26"/>
    </x:row>
    <x:row r="27" ht="15" customHeight="1">
      <x:c r="A27"/>
      <x:c r="B27"/>
      <x:c r="C27"/>
      <x:c r="D27"/>
      <x:c r="E27"/>
      <x:c r="F27"/>
      <x:c r="G27"/>
      <x:c r="H27"/>
      <x:c r="I27"/>
    </x:row>
    <x:row r="28" ht="15" customHeight="1">
      <x:c r="A28"/>
      <x:c r="B28"/>
      <x:c r="C28"/>
      <x:c r="D28"/>
      <x:c r="E28"/>
      <x:c r="F28"/>
      <x:c r="G28"/>
      <x:c r="H28"/>
      <x:c r="I28"/>
    </x:row>
    <x:row r="29" ht="15" customHeight="1">
      <x:c r="A29"/>
      <x:c r="B29"/>
      <x:c r="C29"/>
      <x:c r="D29"/>
      <x:c r="E29"/>
      <x:c r="F29"/>
      <x:c r="G29"/>
      <x:c r="H29"/>
      <x:c r="I29"/>
    </x:row>
    <x:row r="30" ht="15" customHeight="1">
      <x:c r="A30"/>
      <x:c r="B30"/>
      <x:c r="C30"/>
      <x:c r="D30"/>
      <x:c r="E30"/>
      <x:c r="F30"/>
      <x:c r="G30"/>
      <x:c r="H30"/>
      <x:c r="I30"/>
    </x:row>
    <x:row r="31" ht="15" customHeight="1">
      <x:c r="A31"/>
      <x:c r="B31"/>
      <x:c r="C31"/>
      <x:c r="D31"/>
      <x:c r="E31"/>
      <x:c r="F31"/>
      <x:c r="G31"/>
      <x:c r="H31"/>
      <x:c r="I31"/>
    </x:row>
    <x:row r="32" ht="15" customHeight="1">
      <x:c r="A32"/>
      <x:c r="B32"/>
      <x:c r="C32"/>
      <x:c r="D32"/>
      <x:c r="E32"/>
      <x:c r="F32"/>
      <x:c r="G32"/>
      <x:c r="H32"/>
      <x:c r="I32"/>
    </x:row>
    <x:row r="33" ht="15" customHeight="1">
      <x:c r="A33"/>
      <x:c r="B33"/>
      <x:c r="C33"/>
      <x:c r="D33"/>
      <x:c r="E33"/>
      <x:c r="F33"/>
      <x:c r="G33"/>
      <x:c r="H33"/>
      <x:c r="I33"/>
    </x:row>
    <x:row r="34" ht="15" customHeight="1">
      <x:c r="A34"/>
      <x:c r="B34"/>
      <x:c r="C34"/>
      <x:c r="D34"/>
      <x:c r="E34"/>
      <x:c r="F34"/>
      <x:c r="G34"/>
      <x:c r="H34"/>
      <x:c r="I34"/>
    </x:row>
    <x:row r="35" ht="15" customHeight="1">
      <x:c r="A35"/>
      <x:c r="B35"/>
      <x:c r="C35"/>
      <x:c r="D35"/>
      <x:c r="E35"/>
      <x:c r="F35"/>
      <x:c r="G35"/>
      <x:c r="H35"/>
      <x:c r="I35"/>
    </x:row>
    <x:row r="36" ht="15" customHeight="1">
      <x:c r="A36"/>
      <x:c r="B36"/>
      <x:c r="C36"/>
      <x:c r="D36"/>
      <x:c r="E36"/>
      <x:c r="F36"/>
      <x:c r="G36"/>
      <x:c r="H36"/>
      <x:c r="I36"/>
    </x:row>
    <x:row r="37" ht="15" customHeight="1">
      <x:c r="A37"/>
      <x:c r="B37"/>
      <x:c r="C37"/>
      <x:c r="D37"/>
      <x:c r="E37"/>
      <x:c r="F37"/>
      <x:c r="G37"/>
      <x:c r="H37"/>
      <x:c r="I37"/>
    </x:row>
    <x:row r="38" ht="15" customHeight="1">
      <x:c r="A38"/>
      <x:c r="B38"/>
      <x:c r="C38"/>
      <x:c r="D38"/>
      <x:c r="E38"/>
      <x:c r="F38"/>
      <x:c r="G38"/>
      <x:c r="H38"/>
      <x:c r="I38"/>
    </x:row>
    <x:row r="39" ht="15" customHeight="1">
      <x:c r="A39"/>
      <x:c r="B39"/>
      <x:c r="C39"/>
      <x:c r="D39"/>
      <x:c r="E39"/>
      <x:c r="F39"/>
      <x:c r="G39"/>
      <x:c r="H39"/>
      <x:c r="I39"/>
    </x:row>
    <x:row r="40" ht="15" customHeight="1">
      <x:c r="A40"/>
      <x:c r="B40"/>
      <x:c r="C40"/>
      <x:c r="D40"/>
      <x:c r="E40"/>
      <x:c r="F40"/>
      <x:c r="G40"/>
      <x:c r="H40"/>
      <x:c r="I40"/>
    </x:row>
    <x:row r="41" ht="15" customHeight="1">
      <x:c r="A41"/>
      <x:c r="B41"/>
      <x:c r="C41"/>
      <x:c r="D41"/>
      <x:c r="E41"/>
      <x:c r="F41"/>
      <x:c r="G41"/>
      <x:c r="H41"/>
      <x:c r="I41"/>
    </x:row>
    <x:row r="42" ht="15" customHeight="1">
      <x:c r="A42"/>
      <x:c r="B42"/>
      <x:c r="C42"/>
      <x:c r="D42"/>
      <x:c r="E42"/>
      <x:c r="F42"/>
      <x:c r="G42"/>
      <x:c r="H42"/>
      <x:c r="I42"/>
    </x:row>
    <x:row r="43" ht="15" customHeight="1">
      <x:c r="A43"/>
      <x:c r="B43"/>
      <x:c r="C43"/>
      <x:c r="D43"/>
      <x:c r="E43"/>
      <x:c r="F43"/>
      <x:c r="G43"/>
      <x:c r="H43"/>
      <x:c r="I43"/>
    </x:row>
    <x:row r="44" ht="15" customHeight="1">
      <x:c r="A44"/>
      <x:c r="B44"/>
      <x:c r="C44"/>
      <x:c r="D44"/>
      <x:c r="E44"/>
      <x:c r="F44"/>
      <x:c r="G44"/>
      <x:c r="H44"/>
      <x:c r="I44"/>
    </x:row>
    <x:row r="45" ht="15" customHeight="1">
      <x:c r="A45"/>
      <x:c r="B45"/>
      <x:c r="C45"/>
      <x:c r="D45"/>
      <x:c r="E45"/>
      <x:c r="F45"/>
      <x:c r="G45"/>
      <x:c r="H45"/>
      <x:c r="I45"/>
    </x:row>
    <x:row r="46" ht="15" customHeight="1">
      <x:c r="A46"/>
      <x:c r="B46"/>
      <x:c r="C46"/>
      <x:c r="D46"/>
      <x:c r="E46"/>
      <x:c r="F46"/>
      <x:c r="G46"/>
      <x:c r="H46"/>
      <x:c r="I46"/>
    </x:row>
    <x:row r="47" ht="15" customHeight="1">
      <x:c r="A47"/>
      <x:c r="B47"/>
      <x:c r="C47"/>
      <x:c r="D47"/>
      <x:c r="E47"/>
      <x:c r="F47"/>
      <x:c r="G47"/>
      <x:c r="H47"/>
      <x:c r="I47"/>
    </x:row>
    <x:row r="48" ht="15" customHeight="1">
      <x:c r="A48"/>
      <x:c r="B48"/>
      <x:c r="C48"/>
      <x:c r="D48"/>
      <x:c r="E48"/>
      <x:c r="F48"/>
      <x:c r="G48"/>
      <x:c r="H48"/>
      <x:c r="I48"/>
    </x:row>
    <x:row r="49" ht="15" customHeight="1">
      <x:c r="A49"/>
      <x:c r="B49"/>
      <x:c r="C49"/>
      <x:c r="D49"/>
      <x:c r="E49"/>
      <x:c r="F49"/>
      <x:c r="G49"/>
      <x:c r="H49"/>
      <x:c r="I49"/>
    </x:row>
    <x:row r="50" ht="15" customHeight="1">
      <x:c r="A50"/>
      <x:c r="B50"/>
      <x:c r="C50"/>
      <x:c r="D50"/>
      <x:c r="E50"/>
      <x:c r="F50"/>
      <x:c r="G50"/>
      <x:c r="H50"/>
      <x:c r="I50"/>
    </x:row>
    <x:row r="51" ht="15" customHeight="1">
      <x:c r="A51"/>
      <x:c r="B51"/>
      <x:c r="C51"/>
      <x:c r="D51"/>
      <x:c r="E51"/>
      <x:c r="F51"/>
      <x:c r="G51"/>
      <x:c r="H51"/>
      <x:c r="I51"/>
    </x:row>
    <x:row r="52" ht="15" customHeight="1">
      <x:c r="A52"/>
      <x:c r="B52"/>
      <x:c r="C52"/>
      <x:c r="D52"/>
      <x:c r="E52"/>
      <x:c r="F52"/>
      <x:c r="G52"/>
      <x:c r="H52"/>
      <x:c r="I52"/>
    </x:row>
    <x:row r="53" ht="15" customHeight="1">
      <x:c r="A53"/>
      <x:c r="B53"/>
      <x:c r="C53"/>
      <x:c r="D53"/>
      <x:c r="E53"/>
      <x:c r="F53"/>
      <x:c r="G53"/>
      <x:c r="H53"/>
      <x:c r="I53"/>
    </x:row>
    <x:row r="54" ht="15" customHeight="1">
      <x:c r="A54"/>
      <x:c r="B54"/>
      <x:c r="C54"/>
      <x:c r="D54"/>
      <x:c r="E54"/>
      <x:c r="F54"/>
      <x:c r="G54"/>
      <x:c r="H54"/>
      <x:c r="I54"/>
    </x:row>
    <x:row r="55" ht="15" customHeight="1">
      <x:c r="A55"/>
      <x:c r="B55"/>
      <x:c r="C55"/>
      <x:c r="D55"/>
      <x:c r="E55"/>
      <x:c r="F55"/>
      <x:c r="G55"/>
      <x:c r="H55"/>
      <x:c r="I55"/>
    </x:row>
    <x:row r="56" ht="15" customHeight="1">
      <x:c r="A56"/>
      <x:c r="B56"/>
      <x:c r="C56"/>
      <x:c r="D56"/>
      <x:c r="E56"/>
      <x:c r="F56"/>
      <x:c r="G56"/>
      <x:c r="H56"/>
      <x:c r="I56"/>
    </x:row>
    <x:row r="57" ht="15" customHeight="1">
      <x:c r="A57"/>
      <x:c r="B57"/>
      <x:c r="C57"/>
      <x:c r="D57"/>
      <x:c r="E57"/>
      <x:c r="F57"/>
      <x:c r="G57"/>
      <x:c r="H57"/>
      <x:c r="I57"/>
    </x:row>
    <x:row r="58" ht="15" customHeight="1">
      <x:c r="A58"/>
      <x:c r="B58"/>
      <x:c r="C58"/>
      <x:c r="D58"/>
      <x:c r="E58"/>
      <x:c r="F58"/>
      <x:c r="G58"/>
      <x:c r="H58"/>
      <x:c r="I58"/>
    </x:row>
    <x:row r="59" ht="15" customHeight="1">
      <x:c r="A59"/>
      <x:c r="B59"/>
      <x:c r="C59"/>
      <x:c r="D59"/>
      <x:c r="E59"/>
      <x:c r="F59"/>
      <x:c r="G59"/>
      <x:c r="H59"/>
      <x:c r="I59"/>
    </x:row>
    <x:row r="60" ht="15" customHeight="1">
      <x:c r="A60"/>
      <x:c r="B60"/>
      <x:c r="C60"/>
      <x:c r="D60"/>
      <x:c r="E60"/>
      <x:c r="F60"/>
      <x:c r="G60"/>
      <x:c r="H60"/>
      <x:c r="I60"/>
    </x:row>
    <x:row r="61" ht="15" customHeight="1">
      <x:c r="A61"/>
      <x:c r="B61"/>
      <x:c r="C61"/>
      <x:c r="D61"/>
      <x:c r="E61"/>
      <x:c r="F61"/>
      <x:c r="G61"/>
      <x:c r="H61"/>
      <x:c r="I61"/>
    </x:row>
    <x:row r="62" ht="15" customHeight="1">
      <x:c r="A62"/>
      <x:c r="B62"/>
      <x:c r="C62"/>
      <x:c r="D62"/>
      <x:c r="E62"/>
      <x:c r="F62"/>
      <x:c r="G62"/>
      <x:c r="H62"/>
      <x:c r="I62"/>
    </x:row>
    <x:row r="63" ht="15" customHeight="1">
      <x:c r="A63"/>
      <x:c r="B63"/>
      <x:c r="C63"/>
      <x:c r="D63"/>
      <x:c r="E63"/>
      <x:c r="F63"/>
      <x:c r="G63"/>
      <x:c r="H63"/>
      <x:c r="I63"/>
    </x:row>
    <x:row r="64" ht="15" customHeight="1">
      <x:c r="A64"/>
      <x:c r="B64"/>
      <x:c r="C64"/>
      <x:c r="D64"/>
      <x:c r="E64"/>
      <x:c r="F64"/>
      <x:c r="G64"/>
      <x:c r="H64"/>
      <x:c r="I64"/>
    </x:row>
    <x:row r="65" ht="15" customHeight="1">
      <x:c r="A65"/>
      <x:c r="B65"/>
      <x:c r="C65"/>
      <x:c r="D65"/>
      <x:c r="E65"/>
      <x:c r="F65"/>
      <x:c r="G65"/>
      <x:c r="H65"/>
      <x:c r="I65"/>
    </x:row>
    <x:row r="66" ht="15" customHeight="1">
      <x:c r="A66"/>
      <x:c r="B66"/>
      <x:c r="C66"/>
      <x:c r="D66"/>
      <x:c r="E66"/>
      <x:c r="F66"/>
      <x:c r="G66"/>
      <x:c r="H66"/>
      <x:c r="I66"/>
    </x:row>
    <x:row r="67" ht="15" customHeight="1">
      <x:c r="A67"/>
      <x:c r="B67"/>
      <x:c r="C67"/>
      <x:c r="D67"/>
      <x:c r="E67"/>
      <x:c r="F67"/>
      <x:c r="G67"/>
      <x:c r="H67"/>
      <x:c r="I67"/>
    </x:row>
    <x:row r="68" ht="15" customHeight="1">
      <x:c r="A68"/>
      <x:c r="B68"/>
      <x:c r="C68"/>
      <x:c r="D68"/>
      <x:c r="E68"/>
      <x:c r="F68"/>
      <x:c r="G68"/>
      <x:c r="H68"/>
      <x:c r="I68"/>
    </x:row>
    <x:row r="69" ht="15" customHeight="1">
      <x:c r="A69"/>
      <x:c r="B69"/>
      <x:c r="C69"/>
      <x:c r="D69"/>
      <x:c r="E69"/>
      <x:c r="F69"/>
      <x:c r="G69"/>
      <x:c r="H69"/>
      <x:c r="I69"/>
    </x:row>
    <x:row r="70" ht="15" customHeight="1">
      <x:c r="A70"/>
      <x:c r="B70"/>
      <x:c r="C70"/>
      <x:c r="D70"/>
      <x:c r="E70"/>
      <x:c r="F70"/>
      <x:c r="G70"/>
      <x:c r="H70"/>
      <x:c r="I70"/>
    </x:row>
    <x:row r="71" ht="15" customHeight="1">
      <x:c r="A71"/>
      <x:c r="B71"/>
      <x:c r="C71"/>
      <x:c r="D71"/>
      <x:c r="E71"/>
      <x:c r="F71"/>
      <x:c r="G71"/>
      <x:c r="H71"/>
      <x:c r="I71"/>
    </x:row>
    <x:row r="72" ht="15" customHeight="1">
      <x:c r="A72"/>
      <x:c r="B72"/>
      <x:c r="C72"/>
      <x:c r="D72"/>
      <x:c r="E72"/>
      <x:c r="F72"/>
      <x:c r="G72"/>
      <x:c r="H72"/>
      <x:c r="I72"/>
    </x:row>
    <x:row r="73" ht="15" customHeight="1">
      <x:c r="A73"/>
      <x:c r="B73"/>
      <x:c r="C73"/>
      <x:c r="D73"/>
      <x:c r="E73"/>
      <x:c r="F73"/>
      <x:c r="G73"/>
      <x:c r="H73"/>
      <x:c r="I73"/>
    </x:row>
    <x:row r="74" ht="15" customHeight="1">
      <x:c r="A74"/>
      <x:c r="B74"/>
      <x:c r="C74"/>
      <x:c r="D74"/>
      <x:c r="E74"/>
      <x:c r="F74"/>
      <x:c r="G74"/>
      <x:c r="H74"/>
      <x:c r="I74"/>
    </x:row>
    <x:row r="75" ht="15" customHeight="1">
      <x:c r="A75"/>
      <x:c r="B75"/>
      <x:c r="C75"/>
      <x:c r="D75"/>
      <x:c r="E75"/>
      <x:c r="F75"/>
      <x:c r="G75"/>
      <x:c r="H75"/>
      <x:c r="I75"/>
    </x:row>
    <x:row r="76" ht="15" customHeight="1">
      <x:c r="A76"/>
      <x:c r="B76"/>
      <x:c r="C76"/>
      <x:c r="D76"/>
      <x:c r="E76"/>
      <x:c r="F76"/>
      <x:c r="G76"/>
      <x:c r="H76"/>
      <x:c r="I76"/>
    </x:row>
    <x:row r="77" ht="15" customHeight="1">
      <x:c r="A77"/>
      <x:c r="B77"/>
      <x:c r="C77"/>
      <x:c r="D77"/>
      <x:c r="E77"/>
      <x:c r="F77"/>
      <x:c r="G77"/>
      <x:c r="H77"/>
      <x:c r="I77"/>
    </x:row>
    <x:row r="78" ht="15" customHeight="1">
      <x:c r="A78"/>
      <x:c r="B78"/>
      <x:c r="C78"/>
      <x:c r="D78"/>
      <x:c r="E78"/>
      <x:c r="F78"/>
      <x:c r="G78"/>
      <x:c r="H78"/>
      <x:c r="I78"/>
    </x:row>
    <x:row r="79" ht="15" customHeight="1">
      <x:c r="A79"/>
      <x:c r="B79"/>
      <x:c r="C79"/>
      <x:c r="D79"/>
      <x:c r="E79"/>
      <x:c r="F79"/>
      <x:c r="G79"/>
      <x:c r="H79"/>
      <x:c r="I79"/>
    </x:row>
    <x:row r="80" ht="15" customHeight="1">
      <x:c r="A80"/>
      <x:c r="B80"/>
      <x:c r="C80"/>
      <x:c r="D80"/>
      <x:c r="E80"/>
      <x:c r="F80"/>
      <x:c r="G80"/>
      <x:c r="H80"/>
      <x:c r="I80"/>
    </x:row>
    <x:row r="81" ht="15" customHeight="1">
      <x:c r="A81"/>
      <x:c r="B81"/>
      <x:c r="C81"/>
      <x:c r="D81"/>
      <x:c r="E81"/>
      <x:c r="F81"/>
      <x:c r="G81"/>
      <x:c r="H81"/>
      <x:c r="I81"/>
    </x:row>
    <x:row r="82" ht="15" customHeight="1">
      <x:c r="A82"/>
      <x:c r="B82"/>
      <x:c r="C82"/>
      <x:c r="D82"/>
      <x:c r="E82"/>
      <x:c r="F82"/>
      <x:c r="G82"/>
      <x:c r="H82"/>
      <x:c r="I82"/>
    </x:row>
    <x:row r="83" ht="15" customHeight="1">
      <x:c r="A83"/>
      <x:c r="B83"/>
      <x:c r="C83"/>
      <x:c r="D83"/>
      <x:c r="E83"/>
      <x:c r="F83"/>
      <x:c r="G83"/>
      <x:c r="H83"/>
      <x:c r="I83"/>
    </x:row>
    <x:row r="84" ht="15" customHeight="1">
      <x:c r="A84"/>
      <x:c r="B84"/>
      <x:c r="C84"/>
      <x:c r="D84"/>
      <x:c r="E84"/>
      <x:c r="F84"/>
      <x:c r="G84"/>
      <x:c r="H84"/>
      <x:c r="I84"/>
    </x:row>
    <x:row r="85" ht="15" customHeight="1">
      <x:c r="A85"/>
      <x:c r="B85"/>
      <x:c r="C85"/>
      <x:c r="D85"/>
      <x:c r="E85"/>
      <x:c r="F85"/>
      <x:c r="G85"/>
      <x:c r="H85"/>
      <x:c r="I85"/>
    </x:row>
    <x:row r="86" ht="15" customHeight="1">
      <x:c r="A86"/>
      <x:c r="B86"/>
      <x:c r="C86"/>
      <x:c r="D86"/>
      <x:c r="E86"/>
      <x:c r="F86"/>
      <x:c r="G86"/>
      <x:c r="H86"/>
      <x:c r="I86"/>
    </x:row>
    <x:row r="87" ht="15" customHeight="1">
      <x:c r="A87"/>
      <x:c r="B87"/>
      <x:c r="C87"/>
      <x:c r="D87"/>
      <x:c r="E87"/>
      <x:c r="F87"/>
      <x:c r="G87"/>
      <x:c r="H87"/>
      <x:c r="I87"/>
    </x:row>
    <x:row r="88" ht="15" customHeight="1">
      <x:c r="A88"/>
      <x:c r="B88"/>
      <x:c r="C88"/>
      <x:c r="D88"/>
      <x:c r="E88"/>
      <x:c r="F88"/>
      <x:c r="G88"/>
      <x:c r="H88"/>
      <x:c r="I88"/>
    </x:row>
    <x:row r="89" ht="15" customHeight="1">
      <x:c r="A89"/>
      <x:c r="B89"/>
      <x:c r="C89"/>
      <x:c r="D89"/>
      <x:c r="E89"/>
      <x:c r="F89"/>
      <x:c r="G89"/>
      <x:c r="H89"/>
      <x:c r="I89"/>
    </x:row>
    <x:row r="90" ht="15" customHeight="1">
      <x:c r="A90"/>
      <x:c r="B90"/>
      <x:c r="C90"/>
      <x:c r="D90"/>
      <x:c r="E90"/>
      <x:c r="F90"/>
      <x:c r="G90"/>
      <x:c r="H90"/>
      <x:c r="I90"/>
    </x:row>
    <x:row r="91" ht="15" customHeight="1">
      <x:c r="A91"/>
      <x:c r="B91"/>
      <x:c r="C91"/>
      <x:c r="D91"/>
      <x:c r="E91"/>
      <x:c r="F91"/>
      <x:c r="G91"/>
      <x:c r="H91"/>
      <x:c r="I91"/>
    </x:row>
    <x:row r="92" ht="15" customHeight="1">
      <x:c r="A92"/>
      <x:c r="B92"/>
      <x:c r="C92"/>
      <x:c r="D92"/>
      <x:c r="E92"/>
      <x:c r="F92"/>
      <x:c r="G92"/>
      <x:c r="H92"/>
      <x:c r="I92"/>
    </x:row>
    <x:row r="93" ht="15" customHeight="1">
      <x:c r="A93"/>
      <x:c r="B93"/>
      <x:c r="C93"/>
      <x:c r="D93"/>
      <x:c r="E93"/>
      <x:c r="F93"/>
      <x:c r="G93"/>
      <x:c r="H93"/>
      <x:c r="I93"/>
    </x:row>
    <x:row r="94" ht="15" customHeight="1">
      <x:c r="A94"/>
      <x:c r="B94"/>
      <x:c r="C94"/>
      <x:c r="D94"/>
      <x:c r="E94"/>
      <x:c r="F94"/>
      <x:c r="G94"/>
      <x:c r="H94"/>
      <x:c r="I94"/>
    </x:row>
    <x:row r="95" ht="15" customHeight="1">
      <x:c r="A95"/>
      <x:c r="B95"/>
      <x:c r="C95"/>
      <x:c r="D95"/>
      <x:c r="E95"/>
      <x:c r="F95"/>
      <x:c r="G95"/>
      <x:c r="H95"/>
      <x:c r="I95"/>
    </x:row>
    <x:row r="96" ht="15" customHeight="1">
      <x:c r="A96"/>
      <x:c r="B96"/>
      <x:c r="C96"/>
      <x:c r="D96"/>
      <x:c r="E96"/>
      <x:c r="F96"/>
      <x:c r="G96"/>
      <x:c r="H96"/>
      <x:c r="I96"/>
    </x:row>
    <x:row r="97" ht="15" customHeight="1">
      <x:c r="A97"/>
      <x:c r="B97"/>
      <x:c r="C97"/>
      <x:c r="D97"/>
      <x:c r="E97"/>
      <x:c r="F97"/>
      <x:c r="G97"/>
      <x:c r="H97"/>
      <x:c r="I97"/>
    </x:row>
    <x:row r="98" ht="15" customHeight="1">
      <x:c r="A98"/>
      <x:c r="B98"/>
      <x:c r="C98"/>
      <x:c r="D98"/>
      <x:c r="E98"/>
      <x:c r="F98"/>
      <x:c r="G98"/>
      <x:c r="H98"/>
      <x:c r="I98"/>
    </x:row>
    <x:row r="99" ht="15" customHeight="1">
      <x:c r="A99"/>
      <x:c r="B99"/>
      <x:c r="C99"/>
      <x:c r="D99"/>
      <x:c r="E99"/>
      <x:c r="F99"/>
      <x:c r="G99"/>
      <x:c r="H99"/>
      <x:c r="I99"/>
    </x:row>
    <x:row r="100" ht="15" customHeight="1">
      <x:c r="A100"/>
      <x:c r="B100"/>
      <x:c r="C100"/>
      <x:c r="D100"/>
      <x:c r="E100"/>
      <x:c r="F100"/>
      <x:c r="G100"/>
      <x:c r="H100"/>
      <x:c r="I100"/>
    </x:row>
    <x:row r="101" ht="15" customHeight="1">
      <x:c r="A101"/>
      <x:c r="B101"/>
      <x:c r="C101"/>
      <x:c r="D101"/>
      <x:c r="E101"/>
      <x:c r="F101"/>
      <x:c r="G101"/>
      <x:c r="H101"/>
      <x:c r="I101"/>
    </x:row>
    <x:row r="102" ht="15" customHeight="1">
      <x:c r="A102"/>
      <x:c r="B102"/>
      <x:c r="C102"/>
      <x:c r="D102"/>
      <x:c r="E102"/>
      <x:c r="F102"/>
      <x:c r="G102"/>
      <x:c r="H102"/>
      <x:c r="I102"/>
    </x:row>
    <x:row r="103" ht="15" customHeight="1">
      <x:c r="A103"/>
      <x:c r="B103"/>
      <x:c r="C103"/>
      <x:c r="D103"/>
      <x:c r="E103"/>
      <x:c r="F103"/>
      <x:c r="G103"/>
      <x:c r="H103"/>
      <x:c r="I103"/>
    </x:row>
    <x:row r="106" ht="15" customHeight="1">
      <x:c r="A106"/>
      <x:c r="B106"/>
      <x:c r="C106"/>
      <x:c r="D106"/>
      <x:c r="E106"/>
      <x:c r="F106"/>
      <x:c r="G106"/>
      <x:c r="H106"/>
      <x:c r="I106"/>
    </x:row>
    <x:row r="107" ht="15" customHeight="1">
      <x:c r="A107"/>
      <x:c r="B107"/>
    </x:row>
    <x:row r="108" ht="15" customHeight="1">
      <x:c r="A108"/>
      <x:c r="B108"/>
    </x:row>
    <x:row r="109" ht="15" customHeight="1">
      <x:c r="A109"/>
      <x:c r="B109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4.399999618530273"/>
  <x:cols>
    <x:col min="1" max="5" width="12" customWidth="1"/>
    <x:col min="6" max="6" width="10" customWidth="1"/>
    <x:col min="8" max="11" width="12" customWidth="1"/>
    <x:col min="13" max="16" width="14" customWidth="1"/>
    <x:col min="19" max="22" width="12" customWidth="1"/>
  </x:cols>
  <x:sheetData>
    <x:row r="1" ht="19.5" customHeight="1">
      <x:c r="A1" t="str">
        <x:v>This sheet will be regenerated after running the model with the new complex input data.</x:v>
      </x:c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</x:row>
    <x:row r="3" ht="26.850000381469727" customHeight="1">
      <x:c r="A3"/>
      <x:c r="B3"/>
      <x:c r="C3"/>
      <x:c r="D3"/>
      <x:c r="E3"/>
      <x:c r="F3"/>
      <x:c r="H3"/>
      <x:c r="I3"/>
      <x:c r="J3"/>
      <x:c r="K3"/>
      <x:c r="M3"/>
      <x:c r="N3"/>
      <x:c r="O3"/>
      <x:c r="P3"/>
      <x:c r="S3"/>
      <x:c r="T3"/>
      <x:c r="U3"/>
      <x:c r="V3"/>
    </x:row>
    <x:row r="5" ht="15" customHeight="1">
      <x:c r="A5"/>
      <x:c r="B5"/>
      <x:c r="C5"/>
      <x:c r="D5"/>
      <x:c r="E5">
        <x:f t="shared" ref="E5:E20" si="0">IF(A5="","",C5-D5)</x:f>
      </x:c>
      <x:c r="F5">
        <x:f t="shared" ref="F5:F20" si="1">IF(A5="","",IF(E5=B5,"OK","CHECK"))</x:f>
      </x:c>
      <x:c r="H5"/>
      <x:c r="I5"/>
      <x:c r="J5"/>
      <x:c r="K5">
        <x:f t="shared" ref="K5:K20" si="2">IF(H5="","",IF(J5=I5,"OK","CHECK"))</x:f>
      </x:c>
      <x:c r="M5"/>
      <x:c r="N5"/>
      <x:c r="O5"/>
      <x:c r="P5">
        <x:f t="shared" ref="P5:P20" si="3">IF(M5="","",N5-O5)</x:f>
      </x:c>
      <x:c r="S5"/>
      <x:c r="T5"/>
      <x:c r="U5"/>
      <x:c r="V5"/>
    </x:row>
    <x:row r="6" ht="15" customHeight="1">
      <x:c r="A6"/>
      <x:c r="B6"/>
      <x:c r="C6"/>
      <x:c r="D6"/>
      <x:c r="E6">
        <x:f t="shared" si="0"/>
      </x:c>
      <x:c r="F6">
        <x:f t="shared" si="1"/>
      </x:c>
      <x:c r="H6"/>
      <x:c r="I6"/>
      <x:c r="J6"/>
      <x:c r="K6">
        <x:f t="shared" si="2"/>
      </x:c>
      <x:c r="M6"/>
      <x:c r="N6"/>
      <x:c r="O6"/>
      <x:c r="P6">
        <x:f t="shared" si="3"/>
      </x:c>
      <x:c r="S6"/>
      <x:c r="T6"/>
      <x:c r="U6"/>
      <x:c r="V6"/>
    </x:row>
    <x:row r="7" ht="15" customHeight="1">
      <x:c r="A7"/>
      <x:c r="B7"/>
      <x:c r="C7"/>
      <x:c r="D7"/>
      <x:c r="E7">
        <x:f t="shared" si="0"/>
      </x:c>
      <x:c r="F7">
        <x:f t="shared" si="1"/>
      </x:c>
      <x:c r="H7"/>
      <x:c r="I7"/>
      <x:c r="J7"/>
      <x:c r="K7">
        <x:f t="shared" si="2"/>
      </x:c>
      <x:c r="M7"/>
      <x:c r="N7"/>
      <x:c r="O7"/>
      <x:c r="P7">
        <x:f t="shared" si="3"/>
      </x:c>
      <x:c r="S7"/>
      <x:c r="T7"/>
      <x:c r="U7"/>
      <x:c r="V7"/>
    </x:row>
    <x:row r="8" ht="15" customHeight="1">
      <x:c r="A8"/>
      <x:c r="B8"/>
      <x:c r="C8"/>
      <x:c r="D8"/>
      <x:c r="E8">
        <x:f t="shared" si="0"/>
      </x:c>
      <x:c r="F8">
        <x:f t="shared" si="1"/>
      </x:c>
      <x:c r="H8"/>
      <x:c r="I8"/>
      <x:c r="J8"/>
      <x:c r="K8">
        <x:f t="shared" si="2"/>
      </x:c>
      <x:c r="N8"/>
      <x:c r="O8"/>
      <x:c r="P8">
        <x:f t="shared" si="3"/>
      </x:c>
      <x:c r="S8"/>
      <x:c r="T8"/>
      <x:c r="U8"/>
      <x:c r="V8"/>
    </x:row>
    <x:row r="9" ht="15" customHeight="1">
      <x:c r="A9"/>
      <x:c r="B9"/>
      <x:c r="C9"/>
      <x:c r="D9"/>
      <x:c r="E9">
        <x:f t="shared" si="0"/>
      </x:c>
      <x:c r="F9">
        <x:f t="shared" si="1"/>
      </x:c>
      <x:c r="H9"/>
      <x:c r="I9"/>
      <x:c r="J9"/>
      <x:c r="K9">
        <x:f t="shared" si="2"/>
      </x:c>
      <x:c r="N9"/>
      <x:c r="O9"/>
      <x:c r="P9">
        <x:f t="shared" si="3"/>
      </x:c>
      <x:c r="S9"/>
      <x:c r="T9"/>
      <x:c r="U9"/>
      <x:c r="V9"/>
    </x:row>
    <x:row r="10" ht="15" customHeight="1">
      <x:c r="A10"/>
      <x:c r="B10"/>
      <x:c r="C10"/>
      <x:c r="D10"/>
      <x:c r="E10">
        <x:f t="shared" si="0"/>
      </x:c>
      <x:c r="F10">
        <x:f t="shared" si="1"/>
      </x:c>
      <x:c r="H10"/>
      <x:c r="I10"/>
      <x:c r="J10"/>
      <x:c r="K10">
        <x:f t="shared" si="2"/>
      </x:c>
      <x:c r="N10"/>
      <x:c r="O10"/>
      <x:c r="P10">
        <x:f t="shared" si="3"/>
      </x:c>
      <x:c r="S10"/>
      <x:c r="T10"/>
      <x:c r="U10"/>
      <x:c r="V10"/>
    </x:row>
    <x:row r="11" ht="15" customHeight="1">
      <x:c r="A11"/>
      <x:c r="B11"/>
      <x:c r="C11"/>
      <x:c r="D11"/>
      <x:c r="E11">
        <x:f t="shared" si="0"/>
      </x:c>
      <x:c r="F11">
        <x:f t="shared" si="1"/>
      </x:c>
      <x:c r="H11"/>
      <x:c r="I11"/>
      <x:c r="J11"/>
      <x:c r="K11">
        <x:f t="shared" si="2"/>
      </x:c>
      <x:c r="N11"/>
      <x:c r="O11"/>
      <x:c r="P11">
        <x:f t="shared" si="3"/>
      </x:c>
      <x:c r="S11"/>
      <x:c r="T11"/>
      <x:c r="U11"/>
      <x:c r="V11"/>
    </x:row>
    <x:row r="12" ht="15" customHeight="1">
      <x:c r="A12"/>
      <x:c r="B12"/>
      <x:c r="C12"/>
      <x:c r="D12"/>
      <x:c r="E12">
        <x:f t="shared" si="0"/>
      </x:c>
      <x:c r="F12">
        <x:f t="shared" si="1"/>
      </x:c>
      <x:c r="H12"/>
      <x:c r="I12"/>
      <x:c r="J12"/>
      <x:c r="K12">
        <x:f t="shared" si="2"/>
      </x:c>
      <x:c r="N12"/>
      <x:c r="O12"/>
      <x:c r="P12">
        <x:f t="shared" si="3"/>
      </x:c>
      <x:c r="S12"/>
      <x:c r="T12"/>
      <x:c r="U12"/>
      <x:c r="V12"/>
    </x:row>
    <x:row r="13" ht="15" customHeight="1">
      <x:c r="A13"/>
      <x:c r="B13"/>
      <x:c r="C13"/>
      <x:c r="D13"/>
      <x:c r="E13">
        <x:f t="shared" si="0"/>
      </x:c>
      <x:c r="F13">
        <x:f t="shared" si="1"/>
      </x:c>
      <x:c r="H13"/>
      <x:c r="I13"/>
      <x:c r="J13"/>
      <x:c r="K13">
        <x:f t="shared" si="2"/>
      </x:c>
      <x:c r="N13"/>
      <x:c r="O13"/>
      <x:c r="P13">
        <x:f t="shared" si="3"/>
      </x:c>
      <x:c r="S13"/>
      <x:c r="T13"/>
      <x:c r="U13"/>
      <x:c r="V13"/>
    </x:row>
    <x:row r="14" ht="15" customHeight="1">
      <x:c r="A14"/>
      <x:c r="B14"/>
      <x:c r="C14"/>
      <x:c r="D14"/>
      <x:c r="E14">
        <x:f t="shared" si="0"/>
      </x:c>
      <x:c r="F14">
        <x:f t="shared" si="1"/>
      </x:c>
      <x:c r="H14"/>
      <x:c r="I14"/>
      <x:c r="J14"/>
      <x:c r="K14">
        <x:f t="shared" si="2"/>
      </x:c>
      <x:c r="N14"/>
      <x:c r="O14"/>
      <x:c r="P14">
        <x:f t="shared" si="3"/>
      </x:c>
      <x:c r="S14"/>
      <x:c r="T14"/>
      <x:c r="U14"/>
      <x:c r="V14"/>
    </x:row>
    <x:row r="15" ht="15" customHeight="1">
      <x:c r="A15"/>
      <x:c r="B15"/>
      <x:c r="C15"/>
      <x:c r="D15"/>
      <x:c r="E15">
        <x:f t="shared" si="0"/>
      </x:c>
      <x:c r="F15">
        <x:f t="shared" si="1"/>
      </x:c>
      <x:c r="H15"/>
      <x:c r="I15"/>
      <x:c r="J15"/>
      <x:c r="K15">
        <x:f t="shared" si="2"/>
      </x:c>
      <x:c r="N15"/>
      <x:c r="O15"/>
      <x:c r="P15">
        <x:f t="shared" si="3"/>
      </x:c>
      <x:c r="S15"/>
      <x:c r="T15"/>
      <x:c r="U15"/>
      <x:c r="V15"/>
    </x:row>
    <x:row r="16" ht="15" customHeight="1">
      <x:c r="A16"/>
      <x:c r="B16"/>
      <x:c r="C16"/>
      <x:c r="D16"/>
      <x:c r="E16">
        <x:f t="shared" si="0"/>
      </x:c>
      <x:c r="F16">
        <x:f t="shared" si="1"/>
      </x:c>
      <x:c r="H16"/>
      <x:c r="I16"/>
      <x:c r="J16"/>
      <x:c r="K16">
        <x:f t="shared" si="2"/>
      </x:c>
      <x:c r="N16"/>
      <x:c r="O16"/>
      <x:c r="P16">
        <x:f t="shared" si="3"/>
      </x:c>
      <x:c r="S16"/>
      <x:c r="T16"/>
      <x:c r="U16"/>
      <x:c r="V16"/>
    </x:row>
    <x:row r="17" ht="15" customHeight="1">
      <x:c r="A17"/>
      <x:c r="B17"/>
      <x:c r="C17"/>
      <x:c r="D17"/>
      <x:c r="E17">
        <x:f t="shared" si="0"/>
      </x:c>
      <x:c r="F17">
        <x:f t="shared" si="1"/>
      </x:c>
      <x:c r="H17"/>
      <x:c r="I17"/>
      <x:c r="J17"/>
      <x:c r="K17">
        <x:f t="shared" si="2"/>
      </x:c>
      <x:c r="N17"/>
      <x:c r="O17"/>
      <x:c r="P17">
        <x:f t="shared" si="3"/>
      </x:c>
      <x:c r="S17"/>
      <x:c r="T17"/>
      <x:c r="U17"/>
      <x:c r="V17"/>
    </x:row>
    <x:row r="18" ht="15" customHeight="1">
      <x:c r="A18"/>
      <x:c r="B18"/>
      <x:c r="C18"/>
      <x:c r="D18"/>
      <x:c r="E18">
        <x:f t="shared" si="0"/>
      </x:c>
      <x:c r="F18">
        <x:f t="shared" si="1"/>
      </x:c>
      <x:c r="H18"/>
      <x:c r="I18"/>
      <x:c r="J18"/>
      <x:c r="K18">
        <x:f t="shared" si="2"/>
      </x:c>
      <x:c r="N18"/>
      <x:c r="O18"/>
      <x:c r="P18">
        <x:f t="shared" si="3"/>
      </x:c>
      <x:c r="S18"/>
      <x:c r="T18"/>
      <x:c r="U18"/>
      <x:c r="V18"/>
    </x:row>
    <x:row r="19" ht="15" customHeight="1">
      <x:c r="A19"/>
      <x:c r="B19"/>
      <x:c r="C19"/>
      <x:c r="D19"/>
      <x:c r="E19">
        <x:f t="shared" si="0"/>
      </x:c>
      <x:c r="F19">
        <x:f t="shared" si="1"/>
      </x:c>
      <x:c r="H19"/>
      <x:c r="I19"/>
      <x:c r="J19"/>
      <x:c r="K19">
        <x:f t="shared" si="2"/>
      </x:c>
      <x:c r="N19"/>
      <x:c r="O19"/>
      <x:c r="P19">
        <x:f t="shared" si="3"/>
      </x:c>
      <x:c r="S19"/>
      <x:c r="T19"/>
      <x:c r="U19"/>
      <x:c r="V19"/>
    </x:row>
    <x:row r="20" ht="15" customHeight="1">
      <x:c r="A20"/>
      <x:c r="B20"/>
      <x:c r="C20"/>
      <x:c r="D20"/>
      <x:c r="E20">
        <x:f t="shared" si="0"/>
      </x:c>
      <x:c r="F20">
        <x:f t="shared" si="1"/>
      </x:c>
      <x:c r="H20"/>
      <x:c r="I20"/>
      <x:c r="J20"/>
      <x:c r="K20">
        <x:f t="shared" si="2"/>
      </x:c>
      <x:c r="N20"/>
      <x:c r="O20"/>
      <x:c r="P20">
        <x:f t="shared" si="3"/>
      </x:c>
      <x:c r="S20"/>
      <x:c r="T20"/>
      <x:c r="U20"/>
      <x:c r="V20"/>
    </x:row>
    <x:row r="21" ht="15" customHeight="1">
      <x:c r="S21"/>
      <x:c r="T21"/>
      <x:c r="U21"/>
      <x:c r="V21"/>
    </x:row>
    <x:row r="22" ht="15" customHeight="1">
      <x:c r="S22"/>
      <x:c r="T22"/>
      <x:c r="U22"/>
      <x:c r="V22"/>
    </x:row>
    <x:row r="23" ht="15" customHeight="1">
      <x:c r="S23"/>
      <x:c r="T23"/>
      <x:c r="U23"/>
      <x:c r="V23"/>
    </x:row>
    <x:row r="24" ht="15" customHeight="1">
      <x:c r="S24"/>
      <x:c r="T24"/>
      <x:c r="U24"/>
      <x:c r="V24"/>
    </x:row>
    <x:row r="25" ht="15" customHeight="1">
      <x:c r="S25"/>
      <x:c r="T25"/>
      <x:c r="U25"/>
      <x:c r="V25"/>
    </x:row>
    <x:row r="26" ht="15" customHeight="1">
      <x:c r="S26"/>
      <x:c r="T26"/>
      <x:c r="U26"/>
      <x:c r="V26"/>
    </x:row>
    <x:row r="27" ht="15" customHeight="1">
      <x:c r="S27"/>
      <x:c r="T27"/>
      <x:c r="U27"/>
      <x:c r="V27"/>
    </x:row>
    <x:row r="28" ht="40.20000076293945" customHeight="1">
      <x:c r="A28"/>
      <x:c r="B28"/>
      <x:c r="C28"/>
      <x:c r="D28"/>
      <x:c r="F28"/>
      <x:c r="G28"/>
      <x:c r="H28"/>
      <x:c r="I28"/>
      <x:c r="K28"/>
      <x:c r="L28"/>
      <x:c r="M28"/>
      <x:c r="S28"/>
      <x:c r="T28"/>
      <x:c r="U28"/>
      <x:c r="V28"/>
    </x:row>
    <x:row r="29" ht="15" customHeight="1">
      <x:c r="S29"/>
      <x:c r="T29"/>
      <x:c r="U29"/>
      <x:c r="V29"/>
    </x:row>
    <x:row r="30" ht="15" customHeight="1">
      <x:c r="A30"/>
      <x:c r="B30"/>
      <x:c r="C30"/>
      <x:c r="D30"/>
      <x:c r="F30"/>
      <x:c r="G30"/>
      <x:c r="H30"/>
      <x:c r="I30"/>
      <x:c r="K30"/>
      <x:c r="L30"/>
      <x:c r="M30"/>
      <x:c r="N30"/>
      <x:c r="S30"/>
      <x:c r="T30"/>
      <x:c r="U30"/>
      <x:c r="V30"/>
    </x:row>
    <x:row r="31" ht="15" customHeight="1">
      <x:c r="A31"/>
      <x:c r="B31"/>
      <x:c r="C31"/>
      <x:c r="D31"/>
      <x:c r="F31"/>
      <x:c r="G31"/>
      <x:c r="H31"/>
      <x:c r="I31"/>
      <x:c r="K31"/>
      <x:c r="L31"/>
      <x:c r="M31"/>
      <x:c r="N31"/>
      <x:c r="S31"/>
      <x:c r="T31"/>
      <x:c r="U31"/>
      <x:c r="V31"/>
    </x:row>
    <x:row r="32" ht="15" customHeight="1">
      <x:c r="F32"/>
      <x:c r="G32"/>
      <x:c r="H32"/>
      <x:c r="I32"/>
      <x:c r="K32"/>
      <x:c r="L32"/>
      <x:c r="M32"/>
      <x:c r="N32"/>
      <x:c r="S32"/>
      <x:c r="T32"/>
      <x:c r="U32"/>
      <x:c r="V32"/>
    </x:row>
    <x:row r="33" ht="15" customHeight="1">
      <x:c r="F33"/>
      <x:c r="G33"/>
      <x:c r="H33"/>
      <x:c r="I33"/>
      <x:c r="K33"/>
      <x:c r="L33"/>
      <x:c r="M33"/>
      <x:c r="N33"/>
      <x:c r="S33"/>
      <x:c r="T33"/>
      <x:c r="U33"/>
      <x:c r="V33"/>
    </x:row>
    <x:row r="34" ht="15" customHeight="1">
      <x:c r="F34"/>
      <x:c r="G34"/>
      <x:c r="H34"/>
      <x:c r="I34"/>
      <x:c r="S34"/>
      <x:c r="T34"/>
      <x:c r="U34"/>
      <x:c r="V34"/>
    </x:row>
    <x:row r="35" ht="15" customHeight="1">
      <x:c r="S35"/>
      <x:c r="T35"/>
      <x:c r="U35"/>
      <x:c r="V35"/>
    </x:row>
    <x:row r="36" ht="15" customHeight="1">
      <x:c r="S36"/>
      <x:c r="T36"/>
      <x:c r="U36"/>
      <x:c r="V36"/>
    </x:row>
    <x:row r="37" ht="15" customHeight="1">
      <x:c r="S37"/>
      <x:c r="T37"/>
      <x:c r="U37"/>
      <x:c r="V37"/>
    </x:row>
    <x:row r="38" ht="15" customHeight="1">
      <x:c r="S38"/>
      <x:c r="T38"/>
      <x:c r="U38"/>
      <x:c r="V38"/>
    </x:row>
    <x:row r="39" ht="15" customHeight="1">
      <x:c r="S39"/>
      <x:c r="T39"/>
      <x:c r="U39"/>
      <x:c r="V39"/>
    </x:row>
    <x:row r="40" ht="15" customHeight="1">
      <x:c r="S40"/>
      <x:c r="T40"/>
      <x:c r="U40"/>
      <x:c r="V40"/>
    </x:row>
    <x:row r="41" ht="15" customHeight="1">
      <x:c r="S41"/>
      <x:c r="T41"/>
      <x:c r="U41"/>
      <x:c r="V41"/>
    </x:row>
    <x:row r="42" ht="15" customHeight="1">
      <x:c r="S42"/>
      <x:c r="T42"/>
      <x:c r="U42"/>
      <x:c r="V42"/>
    </x:row>
    <x:row r="43" ht="15" customHeight="1">
      <x:c r="S43"/>
      <x:c r="T43"/>
      <x:c r="U43"/>
      <x:c r="V43"/>
    </x:row>
    <x:row r="44" ht="15" customHeight="1">
      <x:c r="S44"/>
      <x:c r="T44"/>
      <x:c r="U44"/>
      <x:c r="V44"/>
    </x:row>
    <x:row r="45" ht="15" customHeight="1">
      <x:c r="S45"/>
      <x:c r="T45"/>
      <x:c r="U45"/>
      <x:c r="V45"/>
    </x:row>
    <x:row r="46" ht="15" customHeight="1">
      <x:c r="S46"/>
      <x:c r="T46"/>
      <x:c r="U46"/>
      <x:c r="V46"/>
    </x:row>
    <x:row r="47" ht="15" customHeight="1">
      <x:c r="S47"/>
      <x:c r="T47"/>
      <x:c r="U47"/>
      <x:c r="V47"/>
    </x:row>
    <x:row r="48" ht="15" customHeight="1">
      <x:c r="S48"/>
      <x:c r="T48"/>
      <x:c r="U48"/>
      <x:c r="V48"/>
    </x:row>
    <x:row r="49" ht="15" customHeight="1">
      <x:c r="S49"/>
      <x:c r="T49"/>
      <x:c r="U49"/>
      <x:c r="V49"/>
    </x:row>
    <x:row r="50" ht="15" customHeight="1">
      <x:c r="S50"/>
      <x:c r="T50"/>
      <x:c r="U50"/>
      <x:c r="V50"/>
    </x:row>
    <x:row r="51" ht="15" customHeight="1">
      <x:c r="S51"/>
      <x:c r="T51"/>
      <x:c r="U51"/>
      <x:c r="V51"/>
    </x:row>
    <x:row r="52" ht="15" customHeight="1">
      <x:c r="S52"/>
      <x:c r="T52"/>
      <x:c r="U52"/>
      <x:c r="V52"/>
    </x:row>
    <x:row r="53" ht="15" customHeight="1">
      <x:c r="S53"/>
      <x:c r="T53"/>
      <x:c r="U53"/>
      <x:c r="V53"/>
    </x:row>
    <x:row r="54" ht="15" customHeight="1">
      <x:c r="S54"/>
      <x:c r="T54"/>
      <x:c r="U54"/>
      <x:c r="V54"/>
    </x:row>
    <x:row r="55" ht="15" customHeight="1">
      <x:c r="S55"/>
      <x:c r="T55"/>
      <x:c r="U55"/>
      <x:c r="V55"/>
    </x:row>
    <x:row r="56" ht="15" customHeight="1">
      <x:c r="S56"/>
      <x:c r="T56"/>
      <x:c r="U56"/>
      <x:c r="V56"/>
    </x:row>
    <x:row r="57" ht="15" customHeight="1">
      <x:c r="S57"/>
      <x:c r="T57"/>
      <x:c r="U57"/>
      <x:c r="V57"/>
    </x:row>
    <x:row r="58" ht="15" customHeight="1">
      <x:c r="S58"/>
      <x:c r="T58"/>
      <x:c r="U58"/>
      <x:c r="V58"/>
    </x:row>
    <x:row r="59" ht="15" customHeight="1">
      <x:c r="S59"/>
      <x:c r="T59"/>
      <x:c r="U59"/>
      <x:c r="V59"/>
    </x:row>
    <x:row r="60" ht="15" customHeight="1">
      <x:c r="S60"/>
      <x:c r="T60"/>
      <x:c r="U60"/>
      <x:c r="V60"/>
    </x:row>
    <x:row r="61" ht="15" customHeight="1">
      <x:c r="S61"/>
      <x:c r="T61"/>
      <x:c r="U61"/>
      <x:c r="V61"/>
    </x:row>
    <x:row r="62" ht="15" customHeight="1">
      <x:c r="S62"/>
      <x:c r="T62"/>
      <x:c r="U62"/>
      <x:c r="V62"/>
    </x:row>
    <x:row r="63" ht="15" customHeight="1">
      <x:c r="S63"/>
      <x:c r="T63"/>
      <x:c r="U63"/>
      <x:c r="V63"/>
    </x:row>
    <x:row r="64" ht="15" customHeight="1">
      <x:c r="S64"/>
      <x:c r="T64"/>
      <x:c r="U64"/>
      <x:c r="V64"/>
    </x:row>
    <x:row r="65" ht="15" customHeight="1">
      <x:c r="S65"/>
      <x:c r="T65"/>
      <x:c r="U65"/>
      <x:c r="V65"/>
    </x:row>
    <x:row r="66" ht="15" customHeight="1">
      <x:c r="S66"/>
      <x:c r="T66"/>
      <x:c r="U66"/>
      <x:c r="V66"/>
    </x:row>
    <x:row r="67" ht="15" customHeight="1">
      <x:c r="S67"/>
      <x:c r="T67"/>
      <x:c r="U67"/>
      <x:c r="V67"/>
    </x:row>
    <x:row r="68" ht="15" customHeight="1">
      <x:c r="S68"/>
      <x:c r="T68"/>
      <x:c r="U68"/>
      <x:c r="V68"/>
    </x:row>
    <x:row r="69" ht="15" customHeight="1">
      <x:c r="S69"/>
      <x:c r="T69"/>
      <x:c r="U69"/>
      <x:c r="V69"/>
    </x:row>
    <x:row r="70" ht="15" customHeight="1">
      <x:c r="S70"/>
      <x:c r="T70"/>
      <x:c r="U70"/>
      <x:c r="V70"/>
    </x:row>
    <x:row r="71" ht="15" customHeight="1">
      <x:c r="S71"/>
      <x:c r="T71"/>
      <x:c r="U71"/>
      <x:c r="V71"/>
    </x:row>
    <x:row r="72" ht="15" customHeight="1">
      <x:c r="S72"/>
      <x:c r="T72"/>
      <x:c r="U72"/>
      <x:c r="V72"/>
    </x:row>
    <x:row r="73" ht="15" customHeight="1">
      <x:c r="S73"/>
      <x:c r="T73"/>
      <x:c r="U73"/>
      <x:c r="V73"/>
    </x:row>
    <x:row r="74" ht="15" customHeight="1">
      <x:c r="S74"/>
      <x:c r="T74"/>
      <x:c r="U74"/>
      <x:c r="V74"/>
    </x:row>
    <x:row r="75" ht="15" customHeight="1">
      <x:c r="S75"/>
      <x:c r="T75"/>
      <x:c r="U75"/>
      <x:c r="V75"/>
    </x:row>
    <x:row r="76" ht="15" customHeight="1">
      <x:c r="S76"/>
      <x:c r="T76"/>
      <x:c r="U76"/>
      <x:c r="V76"/>
    </x:row>
    <x:row r="77" ht="15" customHeight="1">
      <x:c r="S77"/>
      <x:c r="T77"/>
      <x:c r="U77"/>
      <x:c r="V77"/>
    </x:row>
    <x:row r="78" ht="15" customHeight="1">
      <x:c r="S78"/>
      <x:c r="T78"/>
      <x:c r="U78"/>
      <x:c r="V78"/>
    </x:row>
    <x:row r="79" ht="15" customHeight="1">
      <x:c r="S79"/>
      <x:c r="T79"/>
      <x:c r="U79"/>
      <x:c r="V79"/>
    </x:row>
    <x:row r="80" ht="15" customHeight="1">
      <x:c r="S80"/>
      <x:c r="T80"/>
      <x:c r="U80"/>
      <x:c r="V80"/>
    </x:row>
    <x:row r="81" ht="15" customHeight="1">
      <x:c r="S81"/>
      <x:c r="T81"/>
      <x:c r="U81"/>
      <x:c r="V81"/>
    </x:row>
    <x:row r="82" ht="15" customHeight="1">
      <x:c r="S82"/>
      <x:c r="T82"/>
      <x:c r="U82"/>
      <x:c r="V82"/>
    </x:row>
    <x:row r="83" ht="15" customHeight="1">
      <x:c r="S83"/>
      <x:c r="T83"/>
      <x:c r="U83"/>
      <x:c r="V83"/>
    </x:row>
    <x:row r="84" ht="15" customHeight="1">
      <x:c r="S84"/>
      <x:c r="T84"/>
      <x:c r="U84"/>
      <x:c r="V84"/>
    </x:row>
    <x:row r="85" ht="15" customHeight="1">
      <x:c r="S85"/>
      <x:c r="T85"/>
      <x:c r="U85"/>
      <x:c r="V85"/>
    </x:row>
    <x:row r="86" ht="15" customHeight="1">
      <x:c r="S86"/>
      <x:c r="T86"/>
      <x:c r="U86"/>
      <x:c r="V86"/>
    </x:row>
    <x:row r="87" ht="15" customHeight="1">
      <x:c r="S87"/>
      <x:c r="T87"/>
      <x:c r="U87"/>
      <x:c r="V87"/>
    </x:row>
    <x:row r="88" ht="15" customHeight="1">
      <x:c r="S88"/>
      <x:c r="T88"/>
      <x:c r="U88"/>
      <x:c r="V88"/>
    </x:row>
    <x:row r="89" ht="15" customHeight="1">
      <x:c r="S89"/>
      <x:c r="T89"/>
      <x:c r="U89"/>
      <x:c r="V89"/>
    </x:row>
    <x:row r="90" ht="15" customHeight="1">
      <x:c r="S90"/>
      <x:c r="T90"/>
      <x:c r="U90"/>
      <x:c r="V90"/>
    </x:row>
    <x:row r="91" ht="15" customHeight="1">
      <x:c r="S91"/>
      <x:c r="T91"/>
      <x:c r="U91"/>
      <x:c r="V91"/>
    </x:row>
    <x:row r="92" ht="15" customHeight="1">
      <x:c r="S92"/>
      <x:c r="T92"/>
      <x:c r="U92"/>
      <x:c r="V92"/>
    </x:row>
    <x:row r="93" ht="15" customHeight="1">
      <x:c r="S93"/>
      <x:c r="T93"/>
      <x:c r="U93"/>
      <x:c r="V93"/>
    </x:row>
    <x:row r="94" ht="15" customHeight="1">
      <x:c r="S94"/>
      <x:c r="T94"/>
      <x:c r="U94"/>
      <x:c r="V94"/>
    </x:row>
    <x:row r="95" ht="15" customHeight="1">
      <x:c r="S95"/>
      <x:c r="T95"/>
      <x:c r="U95"/>
      <x:c r="V95"/>
    </x:row>
    <x:row r="96" ht="15" customHeight="1">
      <x:c r="S96"/>
      <x:c r="T96"/>
      <x:c r="U96"/>
      <x:c r="V96"/>
    </x:row>
    <x:row r="97" ht="15" customHeight="1">
      <x:c r="S97"/>
      <x:c r="T97"/>
      <x:c r="U97"/>
      <x:c r="V97"/>
    </x:row>
    <x:row r="98" ht="15" customHeight="1">
      <x:c r="S98"/>
      <x:c r="T98"/>
      <x:c r="U98"/>
      <x:c r="V98"/>
    </x:row>
    <x:row r="99" ht="15" customHeight="1">
      <x:c r="S99"/>
      <x:c r="T99"/>
      <x:c r="U99"/>
      <x:c r="V99"/>
    </x:row>
    <x:row r="100" ht="15" customHeight="1">
      <x:c r="S100"/>
      <x:c r="T100"/>
      <x:c r="U100"/>
      <x:c r="V100"/>
    </x:row>
    <x:row r="101" ht="15" customHeight="1">
      <x:c r="S101"/>
      <x:c r="T101"/>
      <x:c r="U101"/>
      <x:c r="V101"/>
    </x:row>
    <x:row r="102" ht="15" customHeight="1">
      <x:c r="S102"/>
      <x:c r="T102"/>
      <x:c r="U102"/>
      <x:c r="V102"/>
    </x:row>
    <x:row r="103" ht="15" customHeight="1">
      <x:c r="S103"/>
      <x:c r="T103"/>
      <x:c r="U103"/>
      <x:c r="V103"/>
    </x:row>
    <x:row r="104" ht="15" customHeight="1">
      <x:c r="S104"/>
      <x:c r="T104"/>
      <x:c r="U104"/>
      <x:c r="V10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4.399999618530273"/>
  <x:cols>
    <x:col min="1" max="1" width="18" customWidth="1"/>
    <x:col min="2" max="4" width="14" customWidth="1"/>
    <x:col min="6" max="10" width="20" customWidth="1"/>
  </x:cols>
  <x:sheetData>
    <x:row r="1" ht="19.5" customHeight="1">
      <x:c r="A1" t="str">
        <x:v>This sheet will be regenerated after running the model with the new complex input data.</x:v>
      </x:c>
      <x:c r="B1"/>
      <x:c r="C1"/>
      <x:c r="D1"/>
      <x:c r="E1"/>
      <x:c r="F1"/>
      <x:c r="G1"/>
      <x:c r="H1"/>
      <x:c r="I1"/>
      <x:c r="J1"/>
      <x:c r="K1"/>
      <x:c r="L1"/>
    </x:row>
    <x:row r="3" ht="15" customHeight="1">
      <x:c r="A3"/>
      <x:c r="B3"/>
      <x:c r="C3"/>
      <x:c r="D3"/>
      <x:c r="F3"/>
      <x:c r="G3"/>
      <x:c r="H3"/>
      <x:c r="I3"/>
      <x:c r="J3"/>
    </x:row>
    <x:row r="4" ht="15" customHeight="1">
      <x:c r="A4"/>
      <x:c r="B4"/>
      <x:c r="C4"/>
      <x:c r="D4"/>
      <x:c r="F4"/>
      <x:c r="G4"/>
    </x:row>
    <x:row r="5" ht="15" customHeight="1">
      <x:c r="A5"/>
      <x:c r="B5"/>
      <x:c r="C5"/>
      <x:c r="D5"/>
      <x:c r="F5"/>
      <x:c r="G5"/>
    </x:row>
    <x:row r="6" ht="15" customHeight="1">
      <x:c r="A6"/>
      <x:c r="B6"/>
      <x:c r="C6"/>
      <x:c r="D6"/>
      <x:c r="F6"/>
      <x:c r="G6"/>
    </x:row>
    <x:row r="7" ht="15" customHeight="1">
      <x:c r="A7"/>
      <x:c r="B7"/>
      <x:c r="C7"/>
      <x:c r="D7"/>
      <x:c r="F7"/>
      <x:c r="G7"/>
    </x:row>
    <x:row r="8" ht="15" customHeight="1">
      <x:c r="A8"/>
      <x:c r="B8"/>
      <x:c r="C8"/>
      <x:c r="D8"/>
      <x:c r="F8"/>
      <x:c r="G8"/>
    </x:row>
    <x:row r="9" ht="15" customHeight="1">
      <x:c r="F9"/>
      <x:c r="G9"/>
    </x:row>
    <x:row r="11" ht="15" customHeight="1">
      <x:c r="A11"/>
      <x:c r="B11"/>
      <x:c r="C11"/>
      <x:c r="D11"/>
      <x:c r="G11"/>
      <x:c r="H11"/>
      <x:c r="I11"/>
      <x:c r="J11"/>
    </x:row>
    <x:row r="12" ht="15" customHeight="1">
      <x:c r="A12"/>
      <x:c r="B12"/>
      <x:c r="C12"/>
      <x:c r="D12"/>
      <x:c r="G12"/>
      <x:c r="H12"/>
      <x:c r="I12"/>
      <x:c r="J12"/>
    </x:row>
    <x:row r="13" ht="15" customHeight="1">
      <x:c r="A13"/>
      <x:c r="B13"/>
      <x:c r="C13"/>
      <x:c r="D13"/>
      <x:c r="G13"/>
      <x:c r="H13"/>
      <x:c r="I13"/>
      <x:c r="J13"/>
    </x:row>
    <x:row r="14" ht="15" customHeight="1">
      <x:c r="A14"/>
      <x:c r="B14"/>
      <x:c r="C14"/>
      <x:c r="D14"/>
      <x:c r="G14"/>
      <x:c r="H14"/>
      <x:c r="I14"/>
      <x:c r="J14"/>
    </x:row>
    <x:row r="15" ht="15" customHeight="1">
      <x:c r="A15"/>
      <x:c r="B15"/>
      <x:c r="C15"/>
      <x:c r="D1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4.399999618530273"/>
  <x:cols>
    <x:col min="1" max="1" width="20" customWidth="1"/>
    <x:col min="2" max="2" width="15" customWidth="1"/>
    <x:col min="4" max="4" width="28" customWidth="1"/>
    <x:col min="5" max="5" width="38" customWidth="1"/>
    <x:col min="7" max="7" width="8" customWidth="1"/>
    <x:col min="8" max="8" width="55" customWidth="1"/>
  </x:cols>
  <x:sheetData>
    <x:row r="1" ht="19.5" customHeight="1">
      <x:c r="A1" t="str">
        <x:v>This sheet will be regenerated after running the model with the new complex input data.</x:v>
      </x:c>
      <x:c r="B1"/>
      <x:c r="C1"/>
      <x:c r="D1"/>
      <x:c r="E1"/>
      <x:c r="F1"/>
      <x:c r="G1"/>
      <x:c r="H1"/>
    </x:row>
    <x:row r="3" ht="15" customHeight="1">
      <x:c r="A3"/>
      <x:c r="B3"/>
      <x:c r="D3"/>
      <x:c r="E3"/>
      <x:c r="G3"/>
      <x:c r="H3"/>
    </x:row>
    <x:row r="4" ht="15" customHeight="1">
      <x:c r="A4"/>
      <x:c r="B4"/>
      <x:c r="D4"/>
      <x:c r="E4"/>
      <x:c r="G4"/>
      <x:c r="H4"/>
    </x:row>
    <x:row r="5" ht="15" customHeight="1">
      <x:c r="A5"/>
      <x:c r="B5"/>
      <x:c r="D5"/>
      <x:c r="E5"/>
      <x:c r="G5"/>
      <x:c r="H5"/>
    </x:row>
    <x:row r="6" ht="15" customHeight="1">
      <x:c r="A6"/>
      <x:c r="B6"/>
      <x:c r="D6"/>
      <x:c r="E6"/>
      <x:c r="G6"/>
      <x:c r="H6"/>
    </x:row>
    <x:row r="7" ht="15" customHeight="1">
      <x:c r="A7"/>
      <x:c r="B7"/>
      <x:c r="D7"/>
      <x:c r="E7"/>
      <x:c r="G7"/>
      <x:c r="H7"/>
    </x:row>
    <x:row r="8" ht="15" customHeight="1">
      <x:c r="A8"/>
      <x:c r="B8"/>
      <x:c r="D8"/>
      <x:c r="E8"/>
      <x:c r="G8"/>
      <x:c r="H8"/>
    </x:row>
    <x:row r="9" ht="15" customHeight="1">
      <x:c r="A9"/>
      <x:c r="B9"/>
      <x:c r="D9"/>
      <x:c r="E9"/>
      <x:c r="G9"/>
      <x:c r="H9"/>
    </x:row>
    <x:row r="10" ht="15" customHeight="1">
      <x:c r="A10"/>
      <x:c r="B10"/>
      <x:c r="D10"/>
      <x:c r="E10"/>
    </x:row>
    <x:row r="11" ht="15" customHeight="1">
      <x:c r="A11"/>
      <x:c r="B11"/>
      <x:c r="D11"/>
      <x:c r="E11"/>
    </x:row>
    <x:row r="12" ht="15" customHeight="1">
      <x:c r="A12"/>
      <x:c r="B12"/>
      <x:c r="D12"/>
      <x:c r="E12"/>
    </x:row>
    <x:row r="13" ht="15" customHeight="1">
      <x:c r="A13"/>
      <x:c r="B13"/>
    </x:row>
    <x:row r="14" ht="26.850000381469727" customHeight="1">
      <x:c r="A14"/>
      <x:c r="B14"/>
      <x:c r="D14"/>
      <x:c r="E14"/>
    </x:row>
    <x:row r="15" ht="15" customHeight="1">
      <x:c r="A15"/>
      <x:c r="B15"/>
      <x:c r="D15"/>
      <x:c r="E15"/>
    </x:row>
    <x:row r="16" ht="15" customHeight="1">
      <x:c r="A16"/>
      <x:c r="B16"/>
      <x:c r="D16"/>
      <x:c r="E16"/>
    </x:row>
    <x:row r="17" ht="15" customHeight="1">
      <x:c r="A17"/>
      <x:c r="B17"/>
      <x:c r="D17"/>
      <x:c r="E17"/>
    </x:row>
    <x:row r="18" ht="15" customHeight="1">
      <x:c r="A18"/>
      <x:c r="B18"/>
      <x:c r="D18"/>
      <x:c r="E18"/>
    </x:row>
    <x:row r="19" ht="15" customHeight="1">
      <x:c r="A19"/>
      <x:c r="B19"/>
      <x:c r="D19"/>
      <x:c r="E19"/>
    </x:row>
    <x:row r="20" ht="15" customHeight="1">
      <x:c r="A20"/>
      <x:c r="B20"/>
      <x:c r="D20"/>
      <x:c r="E20"/>
    </x:row>
    <x:row r="21" ht="15" customHeight="1">
      <x:c r="A21"/>
      <x:c r="B21"/>
      <x:c r="D21"/>
      <x:c r="E21"/>
    </x:row>
    <x:row r="22" ht="15" customHeight="1">
      <x:c r="D22"/>
      <x:c r="E22"/>
    </x:row>
    <x:row r="23" ht="15" customHeight="1">
      <x:c r="D23"/>
      <x:c r="E2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4.399999618530273"/>
  <x:cols>
    <x:col min="1" max="1" width="8.380000114440918" hidden="0" customWidth="1"/>
    <x:col min="2" max="2" width="10.25" hidden="0" customWidth="1"/>
    <x:col min="3" max="3" width="8.630000114440918" hidden="0" customWidth="1"/>
    <x:col min="4" max="4" width="6.630000114440918" hidden="0" customWidth="1"/>
    <x:col min="5" max="5" width="12.380000114440918" hidden="0" customWidth="1"/>
    <x:col min="6" max="6" width="8.630000114440918" hidden="0" customWidth="1"/>
    <x:col min="7" max="7" width="12" hidden="0" customWidth="1"/>
    <x:col min="8" max="8" width="12.130000114440918" hidden="0" customWidth="1"/>
    <x:col min="9" max="9" width="25" hidden="0" customWidth="1"/>
    <x:col min="10" max="10" width="6.630000114440918" hidden="0" customWidth="1"/>
    <x:col min="11" max="11" width="7.5" hidden="0" customWidth="1"/>
  </x:cols>
  <x:sheetData>
    <x:row r="1" ht="14.399999618530273" hidden="0" customHeight="1">
      <x:c r="A1" s="54" t="str">
        <x:v>Node</x:v>
      </x:c>
      <x:c r="B1" s="54" t="str">
        <x:v>Role</x:v>
      </x:c>
      <x:c r="C1" s="54" t="str">
        <x:v>NodeLevel</x:v>
      </x:c>
      <x:c r="D1" s="54" t="str">
        <x:v>Enabled</x:v>
      </x:c>
      <x:c r="E1" s="59" t="str">
        <x:v>CandidateOpen</x:v>
      </x:c>
      <x:c r="F1" s="59" t="str">
        <x:v>MustOpen</x:v>
      </x:c>
      <x:c r="G1" s="59" t="str">
        <x:v>FixedOpenCost</x:v>
      </x:c>
      <x:c r="H1" s="59" t="str">
        <x:v>CapWhenOpen</x:v>
      </x:c>
      <x:c r="I1" s="59" t="str">
        <x:v>Description</x:v>
      </x:c>
      <x:c r="J1" s="54" t="str">
        <x:v>Lat</x:v>
      </x:c>
      <x:c r="K1" s="59" t="str">
        <x:v>Lon</x:v>
      </x:c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4.399999618530273" hidden="0" customHeight="1">
      <x:c r="A2" s="41" t="str">
        <x:v>IP1</x:v>
      </x:c>
      <x:c r="B2" s="41" t="str">
        <x:v>Supply</x:v>
      </x:c>
      <x:c r="C2" s="41" t="n">
        <x:v>1</x:v>
      </x:c>
      <x:c r="D2" s="41" t="n">
        <x:v>1</x:v>
      </x:c>
      <x:c r="E2" s="41" t="n">
        <x:v>0</x:v>
      </x:c>
      <x:c r="F2" s="41" t="n">
        <x:v>1</x:v>
      </x:c>
      <x:c r="G2" s="41" t="n">
        <x:v>0</x:v>
      </x:c>
      <x:c r="H2" s="41" t="n">
        <x:v>999999</x:v>
      </x:c>
      <x:c r="I2" s="41" t="str">
        <x:v>Northern plant</x:v>
      </x:c>
      <x:c r="J2" s="41" t="n">
        <x:v>21.0285</x:v>
      </x:c>
      <x:c r="K2" s="41" t="n">
        <x:v>105.8542</x:v>
      </x:c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4.399999618530273" hidden="0" customHeight="1">
      <x:c r="A3" s="41" t="str">
        <x:v>IP2</x:v>
      </x:c>
      <x:c r="B3" s="41" t="str">
        <x:v>Supply</x:v>
      </x:c>
      <x:c r="C3" s="41" t="n">
        <x:v>1</x:v>
      </x:c>
      <x:c r="D3" s="41" t="n">
        <x:v>1</x:v>
      </x:c>
      <x:c r="E3" s="41" t="n">
        <x:v>0</x:v>
      </x:c>
      <x:c r="F3" s="41" t="n">
        <x:v>1</x:v>
      </x:c>
      <x:c r="G3" s="41" t="n">
        <x:v>0</x:v>
      </x:c>
      <x:c r="H3" s="41" t="n">
        <x:v>999999</x:v>
      </x:c>
      <x:c r="I3" s="41" t="str">
        <x:v>Eastern plant</x:v>
      </x:c>
      <x:c r="J3" s="41" t="n">
        <x:v>20.8449</x:v>
      </x:c>
      <x:c r="K3" s="41" t="n">
        <x:v>106.6881</x:v>
      </x:c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4.399999618530273" hidden="0" customHeight="1">
      <x:c r="A4" s="41" t="str">
        <x:v>IP3</x:v>
      </x:c>
      <x:c r="B4" s="41" t="str">
        <x:v>Supply</x:v>
      </x:c>
      <x:c r="C4" s="41" t="n">
        <x:v>1</x:v>
      </x:c>
      <x:c r="D4" s="41" t="n">
        <x:v>1</x:v>
      </x:c>
      <x:c r="E4" s="41" t="n">
        <x:v>0</x:v>
      </x:c>
      <x:c r="F4" s="41" t="n">
        <x:v>1</x:v>
      </x:c>
      <x:c r="G4" s="41" t="n">
        <x:v>0</x:v>
      </x:c>
      <x:c r="H4" s="41" t="n">
        <x:v>999999</x:v>
      </x:c>
      <x:c r="I4" s="41" t="str">
        <x:v>Central plant</x:v>
      </x:c>
      <x:c r="J4" s="41" t="n">
        <x:v>20.995</x:v>
      </x:c>
      <x:c r="K4" s="41" t="n">
        <x:v>105.83</x:v>
      </x:c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4.399999618530273" hidden="0" customHeight="1">
      <x:c r="A5" s="41" t="str">
        <x:v>IP4</x:v>
      </x:c>
      <x:c r="B5" s="41" t="str">
        <x:v>Supply</x:v>
      </x:c>
      <x:c r="C5" s="41" t="n">
        <x:v>1</x:v>
      </x:c>
      <x:c r="D5" s="41" t="n">
        <x:v>1</x:v>
      </x:c>
      <x:c r="E5" s="41" t="n">
        <x:v>0</x:v>
      </x:c>
      <x:c r="F5" s="41" t="n">
        <x:v>1</x:v>
      </x:c>
      <x:c r="G5" s="41" t="n">
        <x:v>0</x:v>
      </x:c>
      <x:c r="H5" s="41" t="n">
        <x:v>999999</x:v>
      </x:c>
      <x:c r="I5" s="41" t="str">
        <x:v>Southern plant</x:v>
      </x:c>
      <x:c r="J5" s="41" t="n">
        <x:v>20.91</x:v>
      </x:c>
      <x:c r="K5" s="41" t="n">
        <x:v>106.02</x:v>
      </x:c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4.399999618530273" hidden="0" customHeight="1">
      <x:c r="A6" s="41" t="str">
        <x:v>IP5</x:v>
      </x:c>
      <x:c r="B6" s="41" t="str">
        <x:v>Supply</x:v>
      </x:c>
      <x:c r="C6" s="41" t="n">
        <x:v>1</x:v>
      </x:c>
      <x:c r="D6" s="41" t="n">
        <x:v>1</x:v>
      </x:c>
      <x:c r="E6" s="41" t="n">
        <x:v>0</x:v>
      </x:c>
      <x:c r="F6" s="41" t="n">
        <x:v>1</x:v>
      </x:c>
      <x:c r="G6" s="41" t="n">
        <x:v>0</x:v>
      </x:c>
      <x:c r="H6" s="41" t="n">
        <x:v>999999</x:v>
      </x:c>
      <x:c r="I6" s="41" t="str">
        <x:v>Northwest plant</x:v>
      </x:c>
      <x:c r="J6" s="41" t="n">
        <x:v>21.12</x:v>
      </x:c>
      <x:c r="K6" s="41" t="n">
        <x:v>105.7</x:v>
      </x:c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4.399999618530273" hidden="0" customHeight="1">
      <x:c r="A7" s="41" t="str">
        <x:v>IP6</x:v>
      </x:c>
      <x:c r="B7" s="41" t="str">
        <x:v>Supply</x:v>
      </x:c>
      <x:c r="C7" s="41" t="n">
        <x:v>1</x:v>
      </x:c>
      <x:c r="D7" s="41" t="n">
        <x:v>1</x:v>
      </x:c>
      <x:c r="E7" s="41" t="n">
        <x:v>0</x:v>
      </x:c>
      <x:c r="F7" s="41" t="n">
        <x:v>1</x:v>
      </x:c>
      <x:c r="G7" s="41" t="n">
        <x:v>0</x:v>
      </x:c>
      <x:c r="H7" s="41" t="n">
        <x:v>999999</x:v>
      </x:c>
      <x:c r="I7" s="41" t="str">
        <x:v>Southeast plant</x:v>
      </x:c>
      <x:c r="J7" s="41" t="n">
        <x:v>20.78</x:v>
      </x:c>
      <x:c r="K7" s="41" t="n">
        <x:v>106.35</x:v>
      </x:c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4.399999618530273" hidden="0" customHeight="1">
      <x:c r="A8" s="41" t="str">
        <x:v>LC</x:v>
      </x:c>
      <x:c r="B8" s="41" t="str">
        <x:v>Intermediate</x:v>
      </x:c>
      <x:c r="C8" s="41" t="n">
        <x:v>2</x:v>
      </x:c>
      <x:c r="D8" s="41" t="n">
        <x:v>1</x:v>
      </x:c>
      <x:c r="E8" s="41" t="n">
        <x:v>1</x:v>
      </x:c>
      <x:c r="F8" s="41" t="n">
        <x:v>0</x:v>
      </x:c>
      <x:c r="G8" s="41" t="n">
        <x:v>2500</x:v>
      </x:c>
      <x:c r="H8" s="41" t="n">
        <x:v>220</x:v>
      </x:c>
      <x:c r="I8" s="41" t="str">
        <x:v>Primary logistics center</x:v>
      </x:c>
      <x:c r="J8" s="41" t="n">
        <x:v>21.03</x:v>
      </x:c>
      <x:c r="K8" s="41" t="n">
        <x:v>105.78</x:v>
      </x:c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4.399999618530273" hidden="0" customHeight="1">
      <x:c r="A9" s="41" t="str">
        <x:v>LC2</x:v>
      </x:c>
      <x:c r="B9" s="41" t="str">
        <x:v>Intermediate</x:v>
      </x:c>
      <x:c r="C9" s="41" t="n">
        <x:v>2</x:v>
      </x:c>
      <x:c r="D9" s="41" t="n">
        <x:v>1</x:v>
      </x:c>
      <x:c r="E9" s="41" t="n">
        <x:v>1</x:v>
      </x:c>
      <x:c r="F9" s="41" t="n">
        <x:v>0</x:v>
      </x:c>
      <x:c r="G9" s="41" t="n">
        <x:v>2800</x:v>
      </x:c>
      <x:c r="H9" s="41" t="n">
        <x:v>210</x:v>
      </x:c>
      <x:c r="I9" s="41" t="str">
        <x:v>Secondary logistics center</x:v>
      </x:c>
      <x:c r="J9" s="41" t="n">
        <x:v>21.07</x:v>
      </x:c>
      <x:c r="K9" s="41" t="n">
        <x:v>106</x:v>
      </x:c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4.399999618530273" hidden="0" customHeight="1">
      <x:c r="A10" s="41" t="str">
        <x:v>PORTFEED</x:v>
      </x:c>
      <x:c r="B10" s="41" t="str">
        <x:v>Intermediate</x:v>
      </x:c>
      <x:c r="C10" s="41" t="n">
        <x:v>2</x:v>
      </x:c>
      <x:c r="D10" s="41" t="n">
        <x:v>1</x:v>
      </x:c>
      <x:c r="E10" s="41" t="n">
        <x:v>1</x:v>
      </x:c>
      <x:c r="F10" s="41" t="n">
        <x:v>0</x:v>
      </x:c>
      <x:c r="G10" s="41" t="n">
        <x:v>3200</x:v>
      </x:c>
      <x:c r="H10" s="41" t="n">
        <x:v>180</x:v>
      </x:c>
      <x:c r="I10" s="41" t="str">
        <x:v>Port feeder consolidation</x:v>
      </x:c>
      <x:c r="J10" s="41" t="n">
        <x:v>20.95</x:v>
      </x:c>
      <x:c r="K10" s="41" t="n">
        <x:v>106.42</x:v>
      </x:c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4.399999618530273" hidden="0" customHeight="1">
      <x:c r="A11" s="41" t="str">
        <x:v>ICD</x:v>
      </x:c>
      <x:c r="B11" s="41" t="str">
        <x:v>Intermediate</x:v>
      </x:c>
      <x:c r="C11" s="41" t="n">
        <x:v>3</x:v>
      </x:c>
      <x:c r="D11" s="41" t="n">
        <x:v>1</x:v>
      </x:c>
      <x:c r="E11" s="41" t="n">
        <x:v>1</x:v>
      </x:c>
      <x:c r="F11" s="41" t="n">
        <x:v>0</x:v>
      </x:c>
      <x:c r="G11" s="41" t="n">
        <x:v>3500</x:v>
      </x:c>
      <x:c r="H11" s="41" t="n">
        <x:v>180</x:v>
      </x:c>
      <x:c r="I11" s="41" t="str">
        <x:v>Main inland container depot</x:v>
      </x:c>
      <x:c r="J11" s="41" t="n">
        <x:v>20.97</x:v>
      </x:c>
      <x:c r="K11" s="41" t="n">
        <x:v>106.1</x:v>
      </x:c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4.399999618530273" hidden="0" customHeight="1">
      <x:c r="A12" s="41" t="str">
        <x:v>ICD2</x:v>
      </x:c>
      <x:c r="B12" s="41" t="str">
        <x:v>Intermediate</x:v>
      </x:c>
      <x:c r="C12" s="41" t="n">
        <x:v>3</x:v>
      </x:c>
      <x:c r="D12" s="41" t="n">
        <x:v>1</x:v>
      </x:c>
      <x:c r="E12" s="41" t="n">
        <x:v>1</x:v>
      </x:c>
      <x:c r="F12" s="41" t="n">
        <x:v>0</x:v>
      </x:c>
      <x:c r="G12" s="41" t="n">
        <x:v>3600</x:v>
      </x:c>
      <x:c r="H12" s="41" t="n">
        <x:v>170</x:v>
      </x:c>
      <x:c r="I12" s="41" t="str">
        <x:v>Secondary ICD</x:v>
      </x:c>
      <x:c r="J12" s="41" t="n">
        <x:v>20.92</x:v>
      </x:c>
      <x:c r="K12" s="41" t="n">
        <x:v>106.18</x:v>
      </x:c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4.399999618530273" hidden="0" customHeight="1">
      <x:c r="A13" s="41" t="str">
        <x:v>HUB1</x:v>
      </x:c>
      <x:c r="B13" s="41" t="str">
        <x:v>Intermediate</x:v>
      </x:c>
      <x:c r="C13" s="41" t="n">
        <x:v>3</x:v>
      </x:c>
      <x:c r="D13" s="41" t="n">
        <x:v>1</x:v>
      </x:c>
      <x:c r="E13" s="41" t="n">
        <x:v>1</x:v>
      </x:c>
      <x:c r="F13" s="41" t="n">
        <x:v>0</x:v>
      </x:c>
      <x:c r="G13" s="41" t="n">
        <x:v>5000</x:v>
      </x:c>
      <x:c r="H13" s="41" t="n">
        <x:v>150</x:v>
      </x:c>
      <x:c r="I13" s="41" t="str">
        <x:v>Cross-dock hub north</x:v>
      </x:c>
      <x:c r="J13" s="41" t="n">
        <x:v>21.1</x:v>
      </x:c>
      <x:c r="K13" s="41" t="n">
        <x:v>105.92</x:v>
      </x:c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4.399999618530273" hidden="0" customHeight="1">
      <x:c r="A14" s="41" t="str">
        <x:v>HUB2</x:v>
      </x:c>
      <x:c r="B14" s="41" t="str">
        <x:v>Intermediate</x:v>
      </x:c>
      <x:c r="C14" s="41" t="n">
        <x:v>3</x:v>
      </x:c>
      <x:c r="D14" s="41" t="n">
        <x:v>1</x:v>
      </x:c>
      <x:c r="E14" s="41" t="n">
        <x:v>1</x:v>
      </x:c>
      <x:c r="F14" s="41" t="n">
        <x:v>0</x:v>
      </x:c>
      <x:c r="G14" s="41" t="n">
        <x:v>5200</x:v>
      </x:c>
      <x:c r="H14" s="41" t="n">
        <x:v>140</x:v>
      </x:c>
      <x:c r="I14" s="41" t="str">
        <x:v>Cross-dock hub south</x:v>
      </x:c>
      <x:c r="J14" s="41" t="n">
        <x:v>20.86</x:v>
      </x:c>
      <x:c r="K14" s="41" t="n">
        <x:v>106.12</x:v>
      </x:c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4.399999618530273" hidden="0" customHeight="1">
      <x:c r="A15" s="41" t="str">
        <x:v>RAIL1</x:v>
      </x:c>
      <x:c r="B15" s="41" t="str">
        <x:v>Intermediate</x:v>
      </x:c>
      <x:c r="C15" s="41" t="n">
        <x:v>3</x:v>
      </x:c>
      <x:c r="D15" s="41" t="n">
        <x:v>1</x:v>
      </x:c>
      <x:c r="E15" s="41" t="n">
        <x:v>1</x:v>
      </x:c>
      <x:c r="F15" s="41" t="n">
        <x:v>0</x:v>
      </x:c>
      <x:c r="G15" s="41" t="n">
        <x:v>5400</x:v>
      </x:c>
      <x:c r="H15" s="41" t="n">
        <x:v>160</x:v>
      </x:c>
      <x:c r="I15" s="41" t="str">
        <x:v>Rail transfer terminal</x:v>
      </x:c>
      <x:c r="J15" s="41" t="n">
        <x:v>21.04</x:v>
      </x:c>
      <x:c r="K15" s="41" t="n">
        <x:v>106.2</x:v>
      </x:c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 ht="14.399999618530273" hidden="0" customHeight="1">
      <x:c r="A16" s="41" t="str">
        <x:v>DRYPORT</x:v>
      </x:c>
      <x:c r="B16" s="41" t="str">
        <x:v>Intermediate</x:v>
      </x:c>
      <x:c r="C16" s="41" t="n">
        <x:v>4</x:v>
      </x:c>
      <x:c r="D16" s="41" t="n">
        <x:v>1</x:v>
      </x:c>
      <x:c r="E16" s="41" t="n">
        <x:v>1</x:v>
      </x:c>
      <x:c r="F16" s="41" t="n">
        <x:v>0</x:v>
      </x:c>
      <x:c r="G16" s="41" t="n">
        <x:v>6500</x:v>
      </x:c>
      <x:c r="H16" s="41" t="n">
        <x:v>170</x:v>
      </x:c>
      <x:c r="I16" s="41" t="str">
        <x:v>Dry port export aggregator</x:v>
      </x:c>
      <x:c r="J16" s="41" t="n">
        <x:v>20.9</x:v>
      </x:c>
      <x:c r="K16" s="41" t="n">
        <x:v>106.3</x:v>
      </x:c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 t="str">
        <x:v>COAST1</x:v>
      </x:c>
      <x:c r="B17" s="41" t="str">
        <x:v>Intermediate</x:v>
      </x:c>
      <x:c r="C17" s="41" t="n">
        <x:v>4</x:v>
      </x:c>
      <x:c r="D17" s="41" t="n">
        <x:v>1</x:v>
      </x:c>
      <x:c r="E17" s="41" t="n">
        <x:v>1</x:v>
      </x:c>
      <x:c r="F17" s="41" t="n">
        <x:v>0</x:v>
      </x:c>
      <x:c r="G17" s="41" t="n">
        <x:v>6200</x:v>
      </x:c>
      <x:c r="H17" s="41" t="n">
        <x:v>160</x:v>
      </x:c>
      <x:c r="I17" s="41" t="str">
        <x:v>Coastal feeder hub</x:v>
      </x:c>
      <x:c r="J17" s="41" t="n">
        <x:v>20.83</x:v>
      </x:c>
      <x:c r="K17" s="41" t="n">
        <x:v>106.52</x:v>
      </x:c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 t="str">
        <x:v>DC1</x:v>
      </x:c>
      <x:c r="B18" s="41" t="str">
        <x:v>Demand</x:v>
      </x:c>
      <x:c r="C18" s="41" t="n">
        <x:v>4</x:v>
      </x:c>
      <x:c r="D18" s="41" t="n">
        <x:v>1</x:v>
      </x:c>
      <x:c r="E18" s="41" t="n">
        <x:v>0</x:v>
      </x:c>
      <x:c r="F18" s="41" t="n">
        <x:v>1</x:v>
      </x:c>
      <x:c r="G18" s="41" t="n">
        <x:v>0</x:v>
      </x:c>
      <x:c r="H18" s="41" t="n">
        <x:v>999999</x:v>
      </x:c>
      <x:c r="I18" s="41" t="str">
        <x:v>Urban demand north</x:v>
      </x:c>
      <x:c r="J18" s="41" t="n">
        <x:v>21.585</x:v>
      </x:c>
      <x:c r="K18" s="41" t="n">
        <x:v>105.806</x:v>
      </x:c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 t="str">
        <x:v>DC2</x:v>
      </x:c>
      <x:c r="B19" s="41" t="str">
        <x:v>Demand</x:v>
      </x:c>
      <x:c r="C19" s="41" t="n">
        <x:v>4</x:v>
      </x:c>
      <x:c r="D19" s="41" t="n">
        <x:v>1</x:v>
      </x:c>
      <x:c r="E19" s="41" t="n">
        <x:v>0</x:v>
      </x:c>
      <x:c r="F19" s="41" t="n">
        <x:v>1</x:v>
      </x:c>
      <x:c r="G19" s="41" t="n">
        <x:v>0</x:v>
      </x:c>
      <x:c r="H19" s="41" t="n">
        <x:v>999999</x:v>
      </x:c>
      <x:c r="I19" s="41" t="str">
        <x:v>Urban demand central</x:v>
      </x:c>
      <x:c r="J19" s="41" t="n">
        <x:v>20.98</x:v>
      </x:c>
      <x:c r="K19" s="41" t="n">
        <x:v>105.78</x:v>
      </x:c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 t="str">
        <x:v>DC3</x:v>
      </x:c>
      <x:c r="B20" s="41" t="str">
        <x:v>Demand</x:v>
      </x:c>
      <x:c r="C20" s="41" t="n">
        <x:v>4</x:v>
      </x:c>
      <x:c r="D20" s="41" t="n">
        <x:v>1</x:v>
      </x:c>
      <x:c r="E20" s="41" t="n">
        <x:v>0</x:v>
      </x:c>
      <x:c r="F20" s="41" t="n">
        <x:v>1</x:v>
      </x:c>
      <x:c r="G20" s="41" t="n">
        <x:v>0</x:v>
      </x:c>
      <x:c r="H20" s="41" t="n">
        <x:v>999999</x:v>
      </x:c>
      <x:c r="I20" s="41" t="str">
        <x:v>Industrial demand east</x:v>
      </x:c>
      <x:c r="J20" s="41" t="n">
        <x:v>21.14</x:v>
      </x:c>
      <x:c r="K20" s="41" t="n">
        <x:v>106.12</x:v>
      </x:c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 t="str">
        <x:v>DC4</x:v>
      </x:c>
      <x:c r="B21" s="41" t="str">
        <x:v>Demand</x:v>
      </x:c>
      <x:c r="C21" s="41" t="n">
        <x:v>4</x:v>
      </x:c>
      <x:c r="D21" s="41" t="n">
        <x:v>1</x:v>
      </x:c>
      <x:c r="E21" s="41" t="n">
        <x:v>0</x:v>
      </x:c>
      <x:c r="F21" s="41" t="n">
        <x:v>1</x:v>
      </x:c>
      <x:c r="G21" s="41" t="n">
        <x:v>0</x:v>
      </x:c>
      <x:c r="H21" s="41" t="n">
        <x:v>999999</x:v>
      </x:c>
      <x:c r="I21" s="41" t="str">
        <x:v>Retail demand south</x:v>
      </x:c>
      <x:c r="J21" s="41" t="n">
        <x:v>20.86</x:v>
      </x:c>
      <x:c r="K21" s="41" t="n">
        <x:v>105.95</x:v>
      </x:c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 t="str">
        <x:v>DC5</x:v>
      </x:c>
      <x:c r="B22" s="41" t="str">
        <x:v>Demand</x:v>
      </x:c>
      <x:c r="C22" s="41" t="n">
        <x:v>4</x:v>
      </x:c>
      <x:c r="D22" s="41" t="n">
        <x:v>1</x:v>
      </x:c>
      <x:c r="E22" s="41" t="n">
        <x:v>0</x:v>
      </x:c>
      <x:c r="F22" s="41" t="n">
        <x:v>1</x:v>
      </x:c>
      <x:c r="G22" s="41" t="n">
        <x:v>0</x:v>
      </x:c>
      <x:c r="H22" s="41" t="n">
        <x:v>999999</x:v>
      </x:c>
      <x:c r="I22" s="41" t="str">
        <x:v>Export-related domestic demand</x:v>
      </x:c>
      <x:c r="J22" s="41" t="n">
        <x:v>20.94</x:v>
      </x:c>
      <x:c r="K22" s="41" t="n">
        <x:v>106.22</x:v>
      </x:c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 t="str">
        <x:v>DC6</x:v>
      </x:c>
      <x:c r="B23" s="41" t="str">
        <x:v>Demand</x:v>
      </x:c>
      <x:c r="C23" s="41" t="n">
        <x:v>4</x:v>
      </x:c>
      <x:c r="D23" s="41" t="n">
        <x:v>1</x:v>
      </x:c>
      <x:c r="E23" s="41" t="n">
        <x:v>0</x:v>
      </x:c>
      <x:c r="F23" s="41" t="n">
        <x:v>1</x:v>
      </x:c>
      <x:c r="G23" s="41" t="n">
        <x:v>0</x:v>
      </x:c>
      <x:c r="H23" s="41" t="n">
        <x:v>999999</x:v>
      </x:c>
      <x:c r="I23" s="41" t="str">
        <x:v>Large retail cluster west</x:v>
      </x:c>
      <x:c r="J23" s="41" t="n">
        <x:v>21.18</x:v>
      </x:c>
      <x:c r="K23" s="41" t="n">
        <x:v>105.68</x:v>
      </x:c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 t="str">
        <x:v>DC7</x:v>
      </x:c>
      <x:c r="B24" s="41" t="str">
        <x:v>Demand</x:v>
      </x:c>
      <x:c r="C24" s="41" t="n">
        <x:v>4</x:v>
      </x:c>
      <x:c r="D24" s="41" t="n">
        <x:v>1</x:v>
      </x:c>
      <x:c r="E24" s="41" t="n">
        <x:v>0</x:v>
      </x:c>
      <x:c r="F24" s="41" t="n">
        <x:v>1</x:v>
      </x:c>
      <x:c r="G24" s="41" t="n">
        <x:v>0</x:v>
      </x:c>
      <x:c r="H24" s="41" t="n">
        <x:v>999999</x:v>
      </x:c>
      <x:c r="I24" s="41" t="str">
        <x:v>Coastal industrial cluster</x:v>
      </x:c>
      <x:c r="J24" s="41" t="n">
        <x:v>20.76</x:v>
      </x:c>
      <x:c r="K24" s="41" t="n">
        <x:v>106.46</x:v>
      </x:c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 t="str">
        <x:v>PORT</x:v>
      </x:c>
      <x:c r="B25" s="41" t="str">
        <x:v>ExportSink</x:v>
      </x:c>
      <x:c r="C25" s="41" t="n">
        <x:v>5</x:v>
      </x:c>
      <x:c r="D25" s="41" t="n">
        <x:v>1</x:v>
      </x:c>
      <x:c r="E25" s="41" t="n">
        <x:v>0</x:v>
      </x:c>
      <x:c r="F25" s="41" t="n">
        <x:v>1</x:v>
      </x:c>
      <x:c r="G25" s="41" t="n">
        <x:v>0</x:v>
      </x:c>
      <x:c r="H25" s="41" t="n">
        <x:v>999999</x:v>
      </x:c>
      <x:c r="I25" s="41" t="str">
        <x:v>Seaport export gateway A</x:v>
      </x:c>
      <x:c r="J25" s="41" t="n">
        <x:v>20.8648</x:v>
      </x:c>
      <x:c r="K25" s="41" t="n">
        <x:v>106.6838</x:v>
      </x:c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 t="str">
        <x:v>PORT2</x:v>
      </x:c>
      <x:c r="B26" s="41" t="str">
        <x:v>ExportSink</x:v>
      </x:c>
      <x:c r="C26" s="41" t="n">
        <x:v>5</x:v>
      </x:c>
      <x:c r="D26" s="41" t="n">
        <x:v>1</x:v>
      </x:c>
      <x:c r="E26" s="41" t="n">
        <x:v>0</x:v>
      </x:c>
      <x:c r="F26" s="41" t="n">
        <x:v>1</x:v>
      </x:c>
      <x:c r="G26" s="41" t="n">
        <x:v>0</x:v>
      </x:c>
      <x:c r="H26" s="41" t="n">
        <x:v>999999</x:v>
      </x:c>
      <x:c r="I26" s="41" t="str">
        <x:v>Seaport export gateway B</x:v>
      </x:c>
      <x:c r="J26" s="41" t="n">
        <x:v>20.78</x:v>
      </x:c>
      <x:c r="K26" s="41" t="n">
        <x:v>106.74</x:v>
      </x:c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4.399999618530273"/>
  <x:cols>
    <x:col min="1" max="1" width="4.630000114440918" hidden="0" customWidth="1"/>
    <x:col min="2" max="2" width="6.380000114440918" hidden="0" customWidth="1"/>
    <x:col min="3" max="3" width="7.25" hidden="0" customWidth="1"/>
    <x:col min="4" max="4" width="7.5" hidden="0" customWidth="1"/>
    <x:col min="5" max="5" width="7.880000114440918" hidden="0" customWidth="1"/>
    <x:col min="6" max="6" width="6.630000114440918" hidden="0" customWidth="1"/>
    <x:col min="7" max="7" width="42" hidden="0" customWidth="1"/>
  </x:cols>
  <x:sheetData>
    <x:row r="1" ht="14.399999618530273" hidden="0" customHeight="1">
      <x:c r="A1" s="54" t="str">
        <x:v>Node</x:v>
      </x:c>
      <x:c r="B1" s="54" t="str">
        <x:v>FixFlow</x:v>
      </x:c>
      <x:c r="C1" s="54" t="str">
        <x:v>MinFlow</x:v>
      </x:c>
      <x:c r="D1" s="54" t="str">
        <x:v>MaxFlow</x:v>
      </x:c>
      <x:c r="E1" s="54" t="str">
        <x:v>FlowType</x:v>
      </x:c>
      <x:c r="F1" s="54" t="str">
        <x:v>Enabled</x:v>
      </x:c>
      <x:c r="G1" s="54" t="str">
        <x:v>Notes</x:v>
      </x:c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4.399999618530273" hidden="0" customHeight="1">
      <x:c r="A2" s="41" t="str">
        <x:v>LC</x:v>
      </x:c>
      <x:c r="B2" s="41" t="n">
        <x:v>140</x:v>
      </x:c>
      <x:c r="C2" s="41"/>
      <x:c r="D2" s="41"/>
      <x:c r="E2" s="41" t="n">
        <x:v>1</x:v>
      </x:c>
      <x:c r="F2" s="41" t="n">
        <x:v>1</x:v>
      </x:c>
      <x:c r="G2" s="41" t="str">
        <x:v>Ép inflow vào LC đúng bằng 140 để giữ vai trò backbone</x:v>
      </x:c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4.399999618530273" hidden="0" customHeight="1">
      <x:c r="A3" s="41" t="str">
        <x:v>LC2</x:v>
      </x:c>
      <x:c r="B3" s="41"/>
      <x:c r="C3" s="41" t="n">
        <x:v>60</x:v>
      </x:c>
      <x:c r="D3" s="41" t="n">
        <x:v>180</x:v>
      </x:c>
      <x:c r="E3" s="41" t="n">
        <x:v>1</x:v>
      </x:c>
      <x:c r="F3" s="41" t="n">
        <x:v>1</x:v>
      </x:c>
      <x:c r="G3" s="41" t="str">
        <x:v>LC2 nhận tối thiểu 60 và tối đa 180</x:v>
      </x:c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4.399999618530273" hidden="0" customHeight="1">
      <x:c r="A4" s="41" t="str">
        <x:v>PORTFEED</x:v>
      </x:c>
      <x:c r="B4" s="41"/>
      <x:c r="C4" s="41" t="n">
        <x:v>40</x:v>
      </x:c>
      <x:c r="D4" s="41" t="n">
        <x:v>140</x:v>
      </x:c>
      <x:c r="E4" s="41" t="n">
        <x:v>1</x:v>
      </x:c>
      <x:c r="F4" s="41" t="n">
        <x:v>1</x:v>
      </x:c>
      <x:c r="G4" s="41" t="str">
        <x:v>Feeder nhận tối thiểu 40 và tối đa 140</x:v>
      </x:c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4.399999618530273" hidden="0" customHeight="1">
      <x:c r="A5" s="41" t="str">
        <x:v>ICD</x:v>
      </x:c>
      <x:c r="B5" s="41"/>
      <x:c r="C5" s="41" t="n">
        <x:v>50</x:v>
      </x:c>
      <x:c r="D5" s="41" t="n">
        <x:v>170</x:v>
      </x:c>
      <x:c r="E5" s="41" t="n">
        <x:v>1</x:v>
      </x:c>
      <x:c r="F5" s="41" t="n">
        <x:v>1</x:v>
      </x:c>
      <x:c r="G5" s="41" t="str">
        <x:v>ICD nhận trong khoảng [50,170]</x:v>
      </x:c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4.399999618530273" hidden="0" customHeight="1">
      <x:c r="A6" s="41" t="str">
        <x:v>ICD2</x:v>
      </x:c>
      <x:c r="B6" s="41"/>
      <x:c r="C6" s="41" t="n">
        <x:v>30</x:v>
      </x:c>
      <x:c r="D6" s="41" t="n">
        <x:v>150</x:v>
      </x:c>
      <x:c r="E6" s="41" t="n">
        <x:v>1</x:v>
      </x:c>
      <x:c r="F6" s="41" t="n">
        <x:v>1</x:v>
      </x:c>
      <x:c r="G6" s="41" t="str">
        <x:v>ICD2 nhận trong khoảng [30,150]</x:v>
      </x:c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4.399999618530273" hidden="0" customHeight="1">
      <x:c r="A7" s="41" t="str">
        <x:v>HUB1</x:v>
      </x:c>
      <x:c r="B7" s="41"/>
      <x:c r="C7" s="41"/>
      <x:c r="D7" s="41" t="n">
        <x:v>120</x:v>
      </x:c>
      <x:c r="E7" s="41" t="n">
        <x:v>1</x:v>
      </x:c>
      <x:c r="F7" s="41" t="n">
        <x:v>1</x:v>
      </x:c>
      <x:c r="G7" s="41" t="str">
        <x:v>HUB1 bị giới hạn 120</x:v>
      </x:c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4.399999618530273" hidden="0" customHeight="1">
      <x:c r="A8" s="41" t="str">
        <x:v>HUB2</x:v>
      </x:c>
      <x:c r="B8" s="41"/>
      <x:c r="C8" s="41"/>
      <x:c r="D8" s="41" t="n">
        <x:v>110</x:v>
      </x:c>
      <x:c r="E8" s="41" t="n">
        <x:v>1</x:v>
      </x:c>
      <x:c r="F8" s="41" t="n">
        <x:v>1</x:v>
      </x:c>
      <x:c r="G8" s="41" t="str">
        <x:v>HUB2 bị giới hạn 110</x:v>
      </x:c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4.399999618530273" hidden="0" customHeight="1">
      <x:c r="A9" s="41" t="str">
        <x:v>RAIL1</x:v>
      </x:c>
      <x:c r="B9" s="41"/>
      <x:c r="C9" s="41" t="n">
        <x:v>30</x:v>
      </x:c>
      <x:c r="D9" s="41" t="n">
        <x:v>140</x:v>
      </x:c>
      <x:c r="E9" s="41" t="n">
        <x:v>1</x:v>
      </x:c>
      <x:c r="F9" s="41" t="n">
        <x:v>1</x:v>
      </x:c>
      <x:c r="G9" s="41" t="str">
        <x:v>Rail terminal nhận trong khoảng [30,140]</x:v>
      </x:c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4.399999618530273" hidden="0" customHeight="1">
      <x:c r="A10" s="41" t="str">
        <x:v>DRYPORT</x:v>
      </x:c>
      <x:c r="B10" s="41"/>
      <x:c r="C10" s="41" t="n">
        <x:v>70</x:v>
      </x:c>
      <x:c r="D10" s="41" t="n">
        <x:v>180</x:v>
      </x:c>
      <x:c r="E10" s="41" t="n">
        <x:v>1</x:v>
      </x:c>
      <x:c r="F10" s="41" t="n">
        <x:v>1</x:v>
      </x:c>
      <x:c r="G10" s="41" t="str">
        <x:v>Dry port xuất khẩu nhận trong khoảng [70,180]</x:v>
      </x:c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4.399999618530273" hidden="0" customHeight="1">
      <x:c r="A11" s="41" t="str">
        <x:v>COAST1</x:v>
      </x:c>
      <x:c r="B11" s="41"/>
      <x:c r="C11" s="41" t="n">
        <x:v>40</x:v>
      </x:c>
      <x:c r="D11" s="41" t="n">
        <x:v>150</x:v>
      </x:c>
      <x:c r="E11" s="41" t="n">
        <x:v>1</x:v>
      </x:c>
      <x:c r="F11" s="41" t="n">
        <x:v>1</x:v>
      </x:c>
      <x:c r="G11" s="41" t="str">
        <x:v>Coastal feeder hub nhận trong khoảng [40,150]</x:v>
      </x:c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4.399999618530273" hidden="0" customHeight="1">
      <x:c r="A12" s="41" t="str">
        <x:v>PORT</x:v>
      </x:c>
      <x:c r="B12" s="41"/>
      <x:c r="C12" s="41"/>
      <x:c r="D12" s="41" t="n">
        <x:v>180</x:v>
      </x:c>
      <x:c r="E12" s="41" t="n">
        <x:v>1</x:v>
      </x:c>
      <x:c r="F12" s="41" t="n">
        <x:v>1</x:v>
      </x:c>
      <x:c r="G12" s="41" t="str">
        <x:v>Giới hạn inflow vào PORT không vượt 180</x:v>
      </x:c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4.399999618530273" hidden="0" customHeight="1">
      <x:c r="A13" s="41" t="str">
        <x:v>PORT2</x:v>
      </x:c>
      <x:c r="B13" s="41"/>
      <x:c r="C13" s="41"/>
      <x:c r="D13" s="41" t="n">
        <x:v>170</x:v>
      </x:c>
      <x:c r="E13" s="41" t="n">
        <x:v>1</x:v>
      </x:c>
      <x:c r="F13" s="41" t="n">
        <x:v>1</x:v>
      </x:c>
      <x:c r="G13" s="41" t="str">
        <x:v>Giới hạn inflow vào PORT2 không vượt 170</x:v>
      </x:c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4.399999618530273" hidden="0" customHeight="1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 ht="14.399999618530273" hidden="0" customHeight="1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 ht="14.399999618530273" hidden="0" customHeight="1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4.399999618530273"/>
  <x:cols>
    <x:col min="1" max="1" width="8.380000114440918" hidden="0" customWidth="1"/>
    <x:col min="2" max="2" width="6.25" hidden="0" customWidth="1"/>
    <x:col min="3" max="3" width="6.630000114440918" hidden="0" customWidth="1"/>
    <x:col min="4" max="4" width="35.5" hidden="0" customWidth="1"/>
  </x:cols>
  <x:sheetData>
    <x:row r="1" ht="14.399999618530273" hidden="0" customHeight="1">
      <x:c r="A1" s="54" t="str">
        <x:v>FromLevel</x:v>
      </x:c>
      <x:c r="B1" s="54" t="str">
        <x:v>ToLevel</x:v>
      </x:c>
      <x:c r="C1" s="54" t="str">
        <x:v>Enabled</x:v>
      </x:c>
      <x:c r="D1" s="54" t="str">
        <x:v>Notes</x:v>
      </x:c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4.399999618530273" hidden="0" customHeight="1">
      <x:c r="A2" s="41" t="n">
        <x:v>1</x:v>
      </x:c>
      <x:c r="B2" s="41" t="n">
        <x:v>1</x:v>
      </x:c>
      <x:c r="C2" s="41" t="n">
        <x:v>0</x:v>
      </x:c>
      <x:c r="D2" s="41" t="str">
        <x:v>Không cho luồng cùng tầng nguồn</x:v>
      </x:c>
      <x:c r="E2" s="41"/>
      <x:c r="F2" s="41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 ht="14.399999618530273" hidden="0" customHeight="1">
      <x:c r="A3" s="41" t="n">
        <x:v>1</x:v>
      </x:c>
      <x:c r="B3" s="41" t="n">
        <x:v>2</x:v>
      </x:c>
      <x:c r="C3" s="41" t="n">
        <x:v>1</x:v>
      </x:c>
      <x:c r="D3" s="41" t="str">
        <x:v>Cho phép từ nguồn sang tầng gom hàng sơ cấp</x:v>
      </x:c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4.399999618530273" hidden="0" customHeight="1">
      <x:c r="A4" s="41" t="n">
        <x:v>1</x:v>
      </x:c>
      <x:c r="B4" s="41" t="n">
        <x:v>3</x:v>
      </x:c>
      <x:c r="C4" s="41" t="n">
        <x:v>1</x:v>
      </x:c>
      <x:c r="D4" s="41" t="str">
        <x:v>Cho phép từ nguồn sang tầng trung gian chính</x:v>
      </x:c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4.399999618530273" hidden="0" customHeight="1">
      <x:c r="A5" s="41" t="n">
        <x:v>1</x:v>
      </x:c>
      <x:c r="B5" s="41" t="n">
        <x:v>4</x:v>
      </x:c>
      <x:c r="C5" s="41" t="n">
        <x:v>1</x:v>
      </x:c>
      <x:c r="D5" s="41" t="str">
        <x:v>Cho phép đi tắt từ nguồn đến cầu hoặc tầng export pre-hub</x:v>
      </x:c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4.399999618530273" hidden="0" customHeight="1">
      <x:c r="A6" s="41" t="n">
        <x:v>1</x:v>
      </x:c>
      <x:c r="B6" s="41" t="n">
        <x:v>5</x:v>
      </x:c>
      <x:c r="C6" s="41" t="n">
        <x:v>1</x:v>
      </x:c>
      <x:c r="D6" s="41" t="str">
        <x:v>Cho phép từ nguồn đến cảng xuất trực tiếp</x:v>
      </x:c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4.399999618530273" hidden="0" customHeight="1">
      <x:c r="A7" s="41" t="n">
        <x:v>2</x:v>
      </x:c>
      <x:c r="B7" s="41" t="n">
        <x:v>2</x:v>
      </x:c>
      <x:c r="C7" s="41" t="n">
        <x:v>1</x:v>
      </x:c>
      <x:c r="D7" s="41" t="str">
        <x:v>Cho phép chuyển giữa các nút tầng 2</x:v>
      </x:c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4.399999618530273" hidden="0" customHeight="1">
      <x:c r="A8" s="41" t="n">
        <x:v>2</x:v>
      </x:c>
      <x:c r="B8" s="41" t="n">
        <x:v>3</x:v>
      </x:c>
      <x:c r="C8" s="41" t="n">
        <x:v>1</x:v>
      </x:c>
      <x:c r="D8" s="41" t="str">
        <x:v>Cho phép từ tầng 2 sang tầng 3</x:v>
      </x:c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1" t="n">
        <x:v>2</x:v>
      </x:c>
      <x:c r="B9" s="41" t="n">
        <x:v>4</x:v>
      </x:c>
      <x:c r="C9" s="41" t="n">
        <x:v>1</x:v>
      </x:c>
      <x:c r="D9" s="41" t="str">
        <x:v>Cho phép từ tầng 2 sang tầng 4</x:v>
      </x:c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1" t="n">
        <x:v>2</x:v>
      </x:c>
      <x:c r="B10" s="41" t="n">
        <x:v>5</x:v>
      </x:c>
      <x:c r="C10" s="41" t="n">
        <x:v>1</x:v>
      </x:c>
      <x:c r="D10" s="41" t="str">
        <x:v>Cho phép từ tầng 2 sang cảng xuất</x:v>
      </x:c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1" t="n">
        <x:v>3</x:v>
      </x:c>
      <x:c r="B11" s="41" t="n">
        <x:v>3</x:v>
      </x:c>
      <x:c r="C11" s="41" t="n">
        <x:v>1</x:v>
      </x:c>
      <x:c r="D11" s="41" t="str">
        <x:v>Cho phép luồng giữa các nút trung gian tầng 3</x:v>
      </x:c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1" t="n">
        <x:v>3</x:v>
      </x:c>
      <x:c r="B12" s="41" t="n">
        <x:v>4</x:v>
      </x:c>
      <x:c r="C12" s="41" t="n">
        <x:v>1</x:v>
      </x:c>
      <x:c r="D12" s="41" t="str">
        <x:v>Cho phép từ tầng 3 sang tầng 4</x:v>
      </x:c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 t="n">
        <x:v>3</x:v>
      </x:c>
      <x:c r="B13" s="41" t="n">
        <x:v>5</x:v>
      </x:c>
      <x:c r="C13" s="41" t="n">
        <x:v>1</x:v>
      </x:c>
      <x:c r="D13" s="41" t="str">
        <x:v>Cho phép từ tầng 3 sang cảng xuất</x:v>
      </x:c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 t="n">
        <x:v>4</x:v>
      </x:c>
      <x:c r="B14" s="41" t="n">
        <x:v>4</x:v>
      </x:c>
      <x:c r="C14" s="41" t="n">
        <x:v>1</x:v>
      </x:c>
      <x:c r="D14" s="41" t="str">
        <x:v>Cho phép luồng giữa các nút tầng 4</x:v>
      </x:c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 t="n">
        <x:v>4</x:v>
      </x:c>
      <x:c r="B15" s="41" t="n">
        <x:v>5</x:v>
      </x:c>
      <x:c r="C15" s="41" t="n">
        <x:v>1</x:v>
      </x:c>
      <x:c r="D15" s="41" t="str">
        <x:v>Cho phép từ tầng 4 sang cảng xuất</x:v>
      </x:c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</x:sheetData>
  <x:pageMargins left="0.7" right="0.7" top="0.75" bottom="0.75" header="0.3" footer="0.3"/>
</x:worksheet>
</file>